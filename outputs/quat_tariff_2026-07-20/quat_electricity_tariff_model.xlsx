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8b3bfbf2354a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2f8ac557d064942"/>
    <x:sheet xmlns:r="http://schemas.openxmlformats.org/officeDocument/2006/relationships" name="Assumptions" sheetId="2" r:id="R7818404081a44368"/>
    <x:sheet xmlns:r="http://schemas.openxmlformats.org/officeDocument/2006/relationships" name="Tariff Inputs" sheetId="3" r:id="R28dd1ab959d54f5e"/>
    <x:sheet xmlns:r="http://schemas.openxmlformats.org/officeDocument/2006/relationships" name="Energy Inputs" sheetId="4" r:id="R23d9f1d02c534f8f"/>
    <x:sheet xmlns:r="http://schemas.openxmlformats.org/officeDocument/2006/relationships" name="Cost Calculation" sheetId="5" r:id="R85c0c130ba684022"/>
    <x:sheet xmlns:r="http://schemas.openxmlformats.org/officeDocument/2006/relationships" name="Checks" sheetId="6" r:id="R709dee3eaf8441f8"/>
    <x:sheet xmlns:r="http://schemas.openxmlformats.org/officeDocument/2006/relationships" name="Sources" sheetId="7" r:id="R2c11a42592c045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.0000"/>
    <x:numFmt numFmtId="202" formatCode="0%"/>
    <x:numFmt numFmtId="203" formatCode="#,##0;[Red](#,##0);-"/>
  </x:numFmts>
  <x:fonts count="10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0000FF"/>
      <x:name val="Carlito"/>
    </x:font>
    <x:font>
      <x:sz val="11"/>
      <x:color rgb="FF7A4E00"/>
      <x:name val="Carlito"/>
    </x:font>
    <x:font>
      <x:b/>
      <x:sz val="11"/>
      <x:color rgb="FF17324D"/>
      <x:name val="Carlito"/>
    </x:font>
    <x:font>
      <x:sz val="11"/>
      <x:color rgb="FF17324D"/>
      <x:name val="Carlito"/>
    </x:font>
    <x:font>
      <x:b/>
      <x:sz val="11"/>
      <x:color rgb="FF7A4E00"/>
      <x:name val="Carlito"/>
    </x:font>
    <x:font>
      <x:sz val="11"/>
      <x:color rgb="FF008000"/>
      <x:name val="Carlito"/>
    </x:font>
    <x:font>
      <x:b/>
      <x:sz val="13"/>
      <x:color rgb="FF008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DDF4F1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</x:fills>
  <x:borders count="17">
    <x:border/>
    <x:border>
      <x:right style="thin">
        <x:color rgb="FFB7D8D2"/>
      </x:right>
    </x:border>
    <x:border>
      <x:left style="thin">
        <x:color rgb="FFB7D8D2"/>
      </x:left>
    </x:border>
    <x:border>
      <x:left style="thin">
        <x:color rgb="FFC9D4DE"/>
      </x:left>
      <x:right style="thin">
        <x:color rgb="FFB7D8D2"/>
      </x:right>
      <x:top style="thin">
        <x:color rgb="FFC9D4DE"/>
      </x:top>
    </x:border>
    <x:border>
      <x:left style="thin">
        <x:color rgb="FFB7D8D2"/>
      </x:left>
      <x:right style="thin">
        <x:color rgb="FFC9D4DE"/>
      </x:right>
      <x:top style="thin">
        <x:color rgb="FFC9D4DE"/>
      </x:top>
    </x:border>
    <x:border>
      <x:left style="thin">
        <x:color rgb="FFC9D4DE"/>
      </x:left>
    </x:border>
    <x:border>
      <x:right style="thin">
        <x:color rgb="FFC9D4DE"/>
      </x:right>
    </x:border>
    <x:border>
      <x:left style="thin">
        <x:color rgb="FFC9D4DE"/>
      </x:left>
      <x:bottom style="thin">
        <x:color rgb="FFC9D4DE"/>
      </x:bottom>
    </x:border>
    <x:border>
      <x:right style="thin">
        <x:color rgb="FFC9D4DE"/>
      </x:right>
      <x:bottom style="thin">
        <x:color rgb="FFC9D4DE"/>
      </x:bottom>
    </x:border>
    <x:border>
      <x:left style="thin">
        <x:color rgb="FFB7D8D2"/>
      </x:left>
      <x:right style="thin">
        <x:color rgb="FFB7D8D2"/>
      </x:right>
    </x:border>
    <x:border>
      <x:left style="thin">
        <x:color rgb="FFB7D8D2"/>
      </x:left>
      <x:right style="thin">
        <x:color rgb="FFB7D8D2"/>
      </x:right>
      <x:top style="thin">
        <x:color rgb="FFC9D4DE"/>
      </x:top>
    </x:border>
    <x:border>
      <x:bottom style="thin">
        <x:color rgb="FFC9D4DE"/>
      </x:bottom>
    </x:border>
    <x:border>
      <x:left style="thin">
        <x:color rgb="FFC9D4DE"/>
      </x:left>
      <x:top style="thin">
        <x:color rgb="FFC9D4DE"/>
      </x:top>
      <x:bottom style="thin">
        <x:color rgb="FFC9D4DE"/>
      </x:bottom>
    </x:border>
    <x:border>
      <x:top style="thin">
        <x:color rgb="FFC9D4DE"/>
      </x:top>
      <x:bottom style="thin">
        <x:color rgb="FFC9D4DE"/>
      </x:bottom>
    </x:border>
    <x:border>
      <x:right style="thin">
        <x:color rgb="FFC9D4DE"/>
      </x:right>
      <x:top style="thin">
        <x:color rgb="FFC9D4DE"/>
      </x:top>
      <x:bottom style="thin">
        <x:color rgb="FFC9D4DE"/>
      </x:bottom>
    </x:border>
    <x:border>
      <x:left style="thin">
        <x:color rgb="FFC9D4DE"/>
      </x:left>
      <x:top style="thin">
        <x:color rgb="FFC9D4DE"/>
      </x:top>
    </x:border>
    <x:border>
      <x:right style="thin">
        <x:color rgb="FFC9D4DE"/>
      </x:right>
      <x:top style="thin">
        <x:color rgb="FFC9D4DE"/>
      </x:top>
    </x:border>
  </x:borders>
  <x:cellStyleXfs count="1">
    <x:xf numFmtId="0" fontId="0" fillId="0" borderId="0"/>
  </x:cellStyleXfs>
  <x:cellXfs count="8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5" fillId="0" borderId="5" xfId="0" applyNumberFormat="1" applyFont="1" applyFill="1" applyBorder="1"/>
    <x:xf numFmtId="0" fontId="5" fillId="0" borderId="7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2" fillId="3" borderId="9" xfId="0" applyNumberFormat="1" applyFont="1" applyFill="1" applyBorder="1"/>
    <x:xf numFmtId="0" fontId="2" fillId="3" borderId="9" xfId="0" applyNumberFormat="1" applyFont="1" applyFill="1" applyBorder="1" applyAlignment="1">
      <x:alignment wrapText="1"/>
    </x:xf>
    <x:xf numFmtId="0" fontId="2" fillId="3" borderId="9" xfId="0" applyNumberFormat="1" applyFont="1" applyFill="1" applyBorder="1" applyAlignment="1">
      <x:alignment horizontal="center" wrapText="1"/>
    </x:xf>
    <x:xf numFmtId="0" fontId="2" fillId="3" borderId="9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1" fontId="0" fillId="4" borderId="0" xfId="0" applyNumberFormat="1" applyFont="1" applyFill="1" applyBorder="1"/>
    <x:xf numFmtId="202" fontId="0" fillId="4" borderId="0" xfId="0" applyNumberFormat="1" applyFont="1" applyFill="1" applyBorder="1"/>
    <x:xf numFmtId="0" fontId="2" fillId="3" borderId="10" xfId="0" applyNumberFormat="1" applyFont="1" applyFill="1" applyBorder="1" applyAlignment="1">
      <x:alignment horizontal="center" vertical="center" wrapText="1"/>
    </x:xf>
    <x:xf numFmtId="200" fontId="0" fillId="0" borderId="5" xfId="0" applyNumberFormat="1" applyFont="1" applyFill="1" applyBorder="1"/>
    <x:xf numFmtId="0" fontId="0" fillId="0" borderId="0" xfId="0" applyNumberFormat="1" applyFont="1" applyFill="1" applyBorder="1"/>
    <x:xf numFmtId="200" fontId="0" fillId="0" borderId="7" xfId="0" applyNumberFormat="1" applyFont="1" applyFill="1" applyBorder="1"/>
    <x:xf numFmtId="200" fontId="0" fillId="0" borderId="11" xfId="0" applyNumberFormat="1" applyFont="1" applyFill="1" applyBorder="1"/>
    <x:xf numFmtId="201" fontId="0" fillId="0" borderId="11" xfId="0" applyNumberFormat="1" applyFont="1" applyFill="1" applyBorder="1"/>
    <x:xf numFmtId="202" fontId="0" fillId="0" borderId="11" xfId="0" applyNumberFormat="1" applyFont="1" applyFill="1" applyBorder="1"/>
    <x:xf numFmtId="201" fontId="0" fillId="4" borderId="11" xfId="0" applyNumberFormat="1" applyFont="1" applyFill="1" applyBorder="1"/>
    <x:xf numFmtId="0" fontId="0" fillId="4" borderId="11" xfId="0" applyNumberFormat="1" applyFont="1" applyFill="1" applyBorder="1"/>
    <x:xf numFmtId="202" fontId="0" fillId="4" borderId="11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4" borderId="11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2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/>
    <x:xf numFmtId="203" fontId="5" fillId="6" borderId="13" xfId="0" applyNumberFormat="1" applyFont="1" applyFill="1" applyBorder="1"/>
    <x:xf numFmtId="203" fontId="5" fillId="6" borderId="14" xfId="0" applyNumberFormat="1" applyFont="1" applyFill="1" applyBorder="1"/>
    <x:xf numFmtId="203" fontId="0" fillId="0" borderId="6" xfId="0" applyNumberFormat="1" applyFont="1" applyFill="1" applyBorder="1"/>
    <x:xf numFmtId="201" fontId="5" fillId="6" borderId="13" xfId="0" applyNumberFormat="1" applyFont="1" applyFill="1" applyBorder="1"/>
    <x:xf numFmtId="200" fontId="8" fillId="0" borderId="0" xfId="0" applyNumberFormat="1" applyFont="1" applyFill="1" applyBorder="1"/>
    <x:xf numFmtId="203" fontId="8" fillId="0" borderId="0" xfId="0" applyNumberFormat="1" applyFont="1" applyFill="1" applyBorder="1"/>
    <x:xf numFmtId="201" fontId="8" fillId="0" borderId="0" xfId="0" applyNumberFormat="1" applyFont="1" applyFill="1" applyBorder="1"/>
    <x:xf numFmtId="200" fontId="8" fillId="0" borderId="5" xfId="0" applyNumberFormat="1" applyFont="1" applyFill="1" applyBorder="1"/>
    <x:xf numFmtId="0" fontId="0" fillId="0" borderId="6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203" fontId="0" fillId="0" borderId="11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horizontal="left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5" fillId="6" borderId="15" xfId="0" applyNumberFormat="1" applyFont="1" applyFill="1" applyBorder="1"/>
    <x:xf numFmtId="0" fontId="9" fillId="7" borderId="16" xfId="0" applyNumberFormat="1" applyFont="1" applyFill="1" applyBorder="1"/>
    <x:xf numFmtId="0" fontId="5" fillId="6" borderId="5" xfId="0" applyNumberFormat="1" applyFont="1" applyFill="1" applyBorder="1"/>
    <x:xf numFmtId="0" fontId="9" fillId="7" borderId="6" xfId="0" applyNumberFormat="1" applyFont="1" applyFill="1" applyBorder="1"/>
    <x:xf numFmtId="0" fontId="5" fillId="6" borderId="7" xfId="0" applyNumberFormat="1" applyFont="1" applyFill="1" applyBorder="1"/>
    <x:xf numFmtId="0" fontId="9" fillId="7" borderId="8" xfId="0" applyNumberFormat="1" applyFont="1" applyFill="1" applyBorder="1"/>
    <x:xf numFmtId="203" fontId="9" fillId="7" borderId="16" xfId="0" applyNumberFormat="1" applyFont="1" applyFill="1" applyBorder="1"/>
    <x:xf numFmtId="203" fontId="9" fillId="7" borderId="6" xfId="0" applyNumberFormat="1" applyFont="1" applyFill="1" applyBorder="1"/>
    <x:xf numFmtId="201" fontId="9" fillId="7" borderId="6" xfId="0" applyNumberFormat="1" applyFont="1" applyFill="1" applyBorder="1"/>
  </x:cellXfs>
  <x:cellStyles count="1">
    <x:cellStyle name="Normal" xfId="0"/>
  </x:cellStyles>
  <x:dxfs count="4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FFFFFF"/>
      </x:font>
      <x:fill>
        <x:patternFill patternType="solid">
          <x:bgColor rgb="FF15803D"/>
        </x:patternFill>
      </x:fill>
    </x:dxf>
    <x:dxf>
      <x:font>
        <x:b/>
        <x:color rgb="FFFFFFFF"/>
      </x:font>
      <x:fill>
        <x:patternFill patternType="solid">
          <x:bgColor rgb="FFB91C1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57f854d82742ee" /><Relationship Type="http://schemas.openxmlformats.org/officeDocument/2006/relationships/theme" Target="/xl/theme/theme1.xml" Id="R4104a4dfda2f43c6" /><Relationship Type="http://schemas.openxmlformats.org/officeDocument/2006/relationships/sharedStrings" Target="/xl/sharedStrings.xml" Id="R048d3d1c238a4499" /><Relationship Type="http://schemas.openxmlformats.org/officeDocument/2006/relationships/worksheet" Target="/xl/worksheets/sheet1.xml" Id="R92f8ac557d064942" /><Relationship Type="http://schemas.openxmlformats.org/officeDocument/2006/relationships/worksheet" Target="/xl/worksheets/sheet2.xml" Id="R7818404081a44368" /><Relationship Type="http://schemas.openxmlformats.org/officeDocument/2006/relationships/worksheet" Target="/xl/worksheets/sheet3.xml" Id="R28dd1ab959d54f5e" /><Relationship Type="http://schemas.openxmlformats.org/officeDocument/2006/relationships/worksheet" Target="/xl/worksheets/sheet4.xml" Id="R23d9f1d02c534f8f" /><Relationship Type="http://schemas.openxmlformats.org/officeDocument/2006/relationships/worksheet" Target="/xl/worksheets/sheet5.xml" Id="R85c0c130ba684022" /><Relationship Type="http://schemas.openxmlformats.org/officeDocument/2006/relationships/worksheet" Target="/xl/worksheets/sheet6.xml" Id="R709dee3eaf8441f8" /><Relationship Type="http://schemas.openxmlformats.org/officeDocument/2006/relationships/worksheet" Target="/xl/worksheets/sheet7.xml" Id="R2c11a42592c045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3" hidden="0" customWidth="1"/>
    <x:col min="3" max="3" width="19" hidden="0" customWidth="1"/>
    <x:col min="4" max="4" width="25" hidden="0" customWidth="1"/>
  </x:cols>
  <x:sheetData>
    <x:row r="1" ht="32" customHeight="1">
      <x:c r="A1" s="4" t="str">
        <x:v>Quat — electricity tariff and annual cost estimate</x:v>
      </x:c>
      <x:c r="B1" s="4" t="str">
        <x:v>Quat — electricity tariff and annual cost estimate</x:v>
      </x:c>
      <x:c r="C1" s="4" t="str">
        <x:v>Quat — electricity tariff and annual cost estimate</x:v>
      </x:c>
      <x:c r="D1" s="4" t="str">
        <x:v>Quat — electricity tariff and annual cost estimate</x:v>
      </x:c>
    </x:row>
    <x:row r="2">
      <x:c r="A2" s="76" t="str">
        <x:v>Campus master-input consumption, 2025-07-01 to 2026-07-01 | Turkestan, Kazakhstan</x:v>
      </x:c>
      <x:c r="B2" s="76" t="str">
        <x:v>Campus master-input consumption, 2025-07-01 to 2026-07-01 | Turkestan, Kazakhstan</x:v>
      </x:c>
      <x:c r="C2" s="76" t="str">
        <x:v>Campus master-input consumption, 2025-07-01 to 2026-07-01 | Turkestan, Kazakhstan</x:v>
      </x:c>
      <x:c r="D2" s="76" t="str">
        <x:v>Campus master-input consumption, 2025-07-01 to 2026-07-01 | Turkestan, Kazakhstan</x:v>
      </x:c>
    </x:row>
    <x:row r="4">
      <x:c r="A4" s="79" t="str">
        <x:v>Total energy</x:v>
      </x:c>
      <x:c r="B4" s="85" t="n">
        <x:f>'Cost Calculation'!B9</x:f>
        <x:v>36847136</x:v>
      </x:c>
    </x:row>
    <x:row r="5">
      <x:c r="A5" s="81" t="str">
        <x:v>Estimated gross cost</x:v>
      </x:c>
      <x:c r="B5" s="86" t="n">
        <x:f>'Cost Calculation'!D9</x:f>
        <x:v>1679943445.5527997</x:v>
      </x:c>
    </x:row>
    <x:row r="6">
      <x:c r="A6" s="81" t="str">
        <x:v>Weighted tariff</x:v>
      </x:c>
      <x:c r="B6" s="87" t="n">
        <x:f>'Cost Calculation'!C9</x:f>
        <x:v>45.59223939556116</x:v>
      </x:c>
    </x:row>
    <x:row r="7">
      <x:c r="A7" s="81" t="str">
        <x:v>Selected consumer group</x:v>
      </x:c>
      <x:c r="B7" s="82" t="n">
        <x:f>'Assumptions'!B5</x:f>
        <x:v>2</x:v>
      </x:c>
    </x:row>
    <x:row r="8">
      <x:c r="A8" s="83" t="str">
        <x:v>Model status</x:v>
      </x:c>
      <x:c r="B8" s="84" t="str">
        <x:f>'Checks'!B2</x:f>
        <x:v>PASS</x:v>
      </x:c>
    </x:row>
    <x:row r="10" ht="48" customHeight="1">
      <x:c r="A10" s="61" t="str">
        <x:v>Important: the January–June 2026 gross rate is derived (41.06 × 1.16 = 47.6296 KZT/kWh). Verify it against one invoice before using the estimate as an accounting figure.</x:v>
      </x:c>
      <x:c r="B10" s="61" t="str">
        <x:v>Important: the January–June 2026 gross rate is derived (41.06 × 1.16 = 47.6296 KZT/kWh). Verify it against one invoice before using the estimate as an accounting figure.</x:v>
      </x:c>
      <x:c r="C10" s="61" t="str">
        <x:v>Important: the January–June 2026 gross rate is derived (41.06 × 1.16 = 47.6296 KZT/kWh). Verify it against one invoice before using the estimate as an accounting figure.</x:v>
      </x:c>
      <x:c r="D10" s="61" t="str">
        <x:v>Important: the January–June 2026 gross rate is derived (41.06 × 1.16 = 47.6296 KZT/kWh). Verify it against one invoice before using the estimate as an accounting figure.</x:v>
      </x:c>
    </x:row>
    <x:row r="12" ht="34" customHeight="1">
      <x:c r="A12" s="20" t="str">
        <x:v>Period</x:v>
      </x:c>
      <x:c r="B12" s="41" t="str">
        <x:v>Energy (kWh)</x:v>
      </x:c>
      <x:c r="C12" s="41" t="str">
        <x:v>Tariff</x:v>
      </x:c>
      <x:c r="D12" s="21" t="str">
        <x:v>Cost (KZT)</x:v>
      </x:c>
    </x:row>
    <x:row r="13">
      <x:c r="A13" s="42" t="n">
        <x:f>'Cost Calculation'!A5</x:f>
        <x:v>45839</x:v>
      </x:c>
      <x:c r="B13" s="63" t="n">
        <x:f>'Cost Calculation'!B5</x:f>
        <x:v>3776550</x:v>
      </x:c>
      <x:c r="C13" s="37" t="n">
        <x:f>'Cost Calculation'!C5</x:f>
        <x:v>37</x:v>
      </x:c>
      <x:c r="D13" s="66" t="n">
        <x:f>'Cost Calculation'!D5</x:f>
        <x:v>139732350</x:v>
      </x:c>
    </x:row>
    <x:row r="14">
      <x:c r="A14" s="42" t="n">
        <x:f>'Cost Calculation'!A6</x:f>
        <x:v>45870</x:v>
      </x:c>
      <x:c r="B14" s="63" t="n">
        <x:f>'Cost Calculation'!B6</x:f>
        <x:v>8491384</x:v>
      </x:c>
      <x:c r="C14" s="37" t="n">
        <x:f>'Cost Calculation'!C6</x:f>
        <x:v>44.7552</x:v>
      </x:c>
      <x:c r="D14" s="66" t="n">
        <x:f>'Cost Calculation'!D6</x:f>
        <x:v>380033589.1968</x:v>
      </x:c>
    </x:row>
    <x:row r="15">
      <x:c r="A15" s="42" t="n">
        <x:f>'Cost Calculation'!A7</x:f>
        <x:v>45962</x:v>
      </x:c>
      <x:c r="B15" s="63" t="n">
        <x:f>'Cost Calculation'!B7</x:f>
        <x:v>6405293</x:v>
      </x:c>
      <x:c r="C15" s="37" t="n">
        <x:f>'Cost Calculation'!C7</x:f>
        <x:v>45.9872</x:v>
      </x:c>
      <x:c r="D15" s="66" t="n">
        <x:f>'Cost Calculation'!D7</x:f>
        <x:v>294561490.2496</x:v>
      </x:c>
    </x:row>
    <x:row r="16">
      <x:c r="A16" s="42" t="n">
        <x:f>'Cost Calculation'!A8</x:f>
        <x:v>46023</x:v>
      </x:c>
      <x:c r="B16" s="63" t="n">
        <x:f>'Cost Calculation'!B8</x:f>
        <x:v>18173909</x:v>
      </x:c>
      <x:c r="C16" s="37" t="n">
        <x:f>'Cost Calculation'!C8</x:f>
        <x:v>47.629599999999996</x:v>
      </x:c>
      <x:c r="D16" s="66" t="n">
        <x:f>'Cost Calculation'!D8</x:f>
        <x:v>865616016.1063999</x:v>
      </x:c>
    </x:row>
    <x:row r="17">
      <x:c r="A17" s="57" t="str">
        <x:v>Total</x:v>
      </x:c>
      <x:c r="B17" s="64" t="n">
        <x:f>SUM(B13:B16)</x:f>
        <x:v>36847136</x:v>
      </x:c>
      <x:c r="C17" s="67" t="n">
        <x:f>D17/B17</x:f>
        <x:v>45.59223939556116</x:v>
      </x:c>
      <x:c r="D17" s="65" t="n">
        <x:f>SUM(D13:D16)</x:f>
        <x:v>1679943445.5527997</x:v>
      </x:c>
    </x:row>
  </x:sheetData>
  <x:mergeCells>
    <x:mergeCell ref="A1:D1"/>
    <x:mergeCell ref="A2:D2"/>
    <x:mergeCell ref="A10:D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2" hidden="0" customWidth="1"/>
    <x:col min="3" max="3" width="18" hidden="0" customWidth="1"/>
    <x:col min="4" max="4" width="18" hidden="0" customWidth="1"/>
  </x:cols>
  <x:sheetData>
    <x:row r="1" ht="32" customHeight="1">
      <x:c r="A1" s="4" t="str">
        <x:v>Quat — assumptions</x:v>
      </x:c>
      <x:c r="B1" s="4" t="str">
        <x:v>Quat — assumptions</x:v>
      </x:c>
      <x:c r="C1" s="4" t="str">
        <x:v>Quat — assumptions</x:v>
      </x:c>
      <x:c r="D1" s="4" t="str">
        <x:v>Quat — assumptions</x:v>
      </x:c>
    </x:row>
    <x:row r="3" ht="34" customHeight="1">
      <x:c r="A3" s="20" t="str">
        <x:v>Assumption</x:v>
      </x:c>
      <x:c r="B3" s="21" t="str">
        <x:v>Value</x:v>
      </x:c>
    </x:row>
    <x:row r="4">
      <x:c r="A4" s="27" t="str">
        <x:v>Consumer group</x:v>
      </x:c>
      <x:c r="B4" s="23" t="str">
        <x:v>Group 2 — non-household legal entity</x:v>
      </x:c>
    </x:row>
    <x:row r="5">
      <x:c r="A5" s="27" t="str">
        <x:v>Selected group</x:v>
      </x:c>
      <x:c r="B5" s="24" t="n">
        <x:v>2</x:v>
      </x:c>
    </x:row>
    <x:row r="6">
      <x:c r="A6" s="27" t="str">
        <x:v>Analysis period</x:v>
      </x:c>
      <x:c r="B6" s="23" t="str">
        <x:v>2025-07-01 to 2026-07-01</x:v>
      </x:c>
    </x:row>
    <x:row r="7">
      <x:c r="A7" s="27" t="str">
        <x:v>Currency</x:v>
      </x:c>
      <x:c r="B7" s="23" t="str">
        <x:v>KZT</x:v>
      </x:c>
    </x:row>
    <x:row r="8">
      <x:c r="A8" s="27" t="str">
        <x:v>Model as of</x:v>
      </x:c>
      <x:c r="B8" s="23" t="str">
        <x:v>2026-07-20</x:v>
      </x:c>
    </x:row>
    <x:row r="9">
      <x:c r="A9" s="28" t="str">
        <x:v>Tariff treatment</x:v>
      </x:c>
      <x:c r="B9" s="26" t="str">
        <x:v>Gross tariff (including VAT)</x:v>
      </x:c>
    </x:row>
    <x:row r="11">
      <x:c r="A11" s="19" t="str">
        <x:v>Provisional classification: Group 2. The public procurement registry says the university is not in the state-customer registry. The electricity contract/invoice remains the authoritative source; switch B5 to 3 to test the budget-funded tariff scenario.</x:v>
      </x:c>
      <x:c r="B11" s="19"/>
      <x:c r="C11" s="19"/>
      <x:c r="D11" s="19"/>
    </x:row>
    <x:row r="12">
      <x:c r="A12" s="19"/>
      <x:c r="B12" s="19"/>
      <x:c r="C12" s="19"/>
      <x:c r="D12" s="19"/>
    </x:row>
    <x:row r="13">
      <x:c r="A13" s="19"/>
      <x:c r="B13" s="19"/>
      <x:c r="C13" s="19"/>
      <x:c r="D13" s="19"/>
    </x:row>
  </x:sheetData>
  <x:mergeCells>
    <x:mergeCell ref="A1:D1"/>
    <x:mergeCell ref="A11:D13"/>
  </x:mergeCells>
  <x:dataValidations count="1">
    <x:dataValidation type="list" sqref="B5">
      <x:formula1>"2,3"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24" hidden="0" customWidth="1"/>
    <x:col min="7" max="7" width="15" hidden="0" customWidth="1"/>
    <x:col min="8" max="8" width="15" hidden="0" customWidth="1"/>
    <x:col min="9" max="9" width="15" hidden="0" customWidth="1"/>
    <x:col min="10" max="10" width="34" hidden="0" customWidth="1"/>
    <x:col min="11" max="11" width="13" hidden="0" customWidth="1"/>
  </x:cols>
  <x:sheetData>
    <x:row r="1" ht="32" customHeight="1">
      <x:c r="A1" s="4" t="str">
        <x:v>Electricity tariff timeline — Turkestan / Shymkent</x:v>
      </x:c>
      <x:c r="B1" s="4" t="str">
        <x:v>Electricity tariff timeline — Turkestan / Shymkent</x:v>
      </x:c>
      <x:c r="C1" s="4" t="str">
        <x:v>Electricity tariff timeline — Turkestan / Shymkent</x:v>
      </x:c>
      <x:c r="D1" s="4" t="str">
        <x:v>Electricity tariff timeline — Turkestan / Shymkent</x:v>
      </x:c>
      <x:c r="E1" s="4" t="str">
        <x:v>Electricity tariff timeline — Turkestan / Shymkent</x:v>
      </x:c>
      <x:c r="F1" s="4" t="str">
        <x:v>Electricity tariff timeline — Turkestan / Shymkent</x:v>
      </x:c>
      <x:c r="G1" s="4" t="str">
        <x:v>Electricity tariff timeline — Turkestan / Shymkent</x:v>
      </x:c>
      <x:c r="H1" s="4" t="str">
        <x:v>Electricity tariff timeline — Turkestan / Shymkent</x:v>
      </x:c>
      <x:c r="I1" s="4" t="str">
        <x:v>Electricity tariff timeline — Turkestan / Shymkent</x:v>
      </x:c>
      <x:c r="J1" s="4" t="str">
        <x:v>Electricity tariff timeline — Turkestan / Shymkent</x:v>
      </x:c>
      <x:c r="K1" s="4" t="str">
        <x:v>Electricity tariff timeline — Turkestan / Shymkent</x:v>
      </x:c>
    </x:row>
    <x:row r="2">
      <x:c r="A2" s="31" t="str">
        <x:v>Rates are for retail electricity supplied by Оңтүстік Жарық Транзит / Энергопоток. Gross 2026 rates are derived from published net rates and the statutory 16% VAT rate.</x:v>
      </x:c>
      <x:c r="B2" s="31" t="str">
        <x:v>Rates are for retail electricity supplied by Оңтүстік Жарық Транзит / Энергопоток. Gross 2026 rates are derived from published net rates and the statutory 16% VAT rate.</x:v>
      </x:c>
      <x:c r="C2" s="31" t="str">
        <x:v>Rates are for retail electricity supplied by Оңтүстік Жарық Транзит / Энергопоток. Gross 2026 rates are derived from published net rates and the statutory 16% VAT rate.</x:v>
      </x:c>
      <x:c r="D2" s="31" t="str">
        <x:v>Rates are for retail electricity supplied by Оңтүстік Жарық Транзит / Энергопоток. Gross 2026 rates are derived from published net rates and the statutory 16% VAT rate.</x:v>
      </x:c>
      <x:c r="E2" s="31" t="str">
        <x:v>Rates are for retail electricity supplied by Оңтүстік Жарық Транзит / Энергопоток. Gross 2026 rates are derived from published net rates and the statutory 16% VAT rate.</x:v>
      </x:c>
      <x:c r="F2" s="31" t="str">
        <x:v>Rates are for retail electricity supplied by Оңтүстік Жарық Транзит / Энергопоток. Gross 2026 rates are derived from published net rates and the statutory 16% VAT rate.</x:v>
      </x:c>
      <x:c r="G2" s="31" t="str">
        <x:v>Rates are for retail electricity supplied by Оңтүстік Жарық Транзит / Энергопоток. Gross 2026 rates are derived from published net rates and the statutory 16% VAT rate.</x:v>
      </x:c>
      <x:c r="H2" s="31" t="str">
        <x:v>Rates are for retail electricity supplied by Оңтүстік Жарық Транзит / Энергопоток. Gross 2026 rates are derived from published net rates and the statutory 16% VAT rate.</x:v>
      </x:c>
      <x:c r="I2" s="31" t="str">
        <x:v>Rates are for retail electricity supplied by Оңтүстік Жарық Транзит / Энергопоток. Gross 2026 rates are derived from published net rates and the statutory 16% VAT rate.</x:v>
      </x:c>
      <x:c r="J2" s="31" t="str">
        <x:v>Rates are for retail electricity supplied by Оңтүстік Жарық Транзит / Энергопоток. Gross 2026 rates are derived from published net rates and the statutory 16% VAT rate.</x:v>
      </x:c>
      <x:c r="K2" s="31" t="str">
        <x:v>Rates are for retail electricity supplied by Оңтүстік Жарық Транзит / Энергопоток. Gross 2026 rates are derived from published net rates and the statutory 16% VAT rate.</x:v>
      </x:c>
    </x:row>
    <x:row r="4" ht="34" customHeight="1">
      <x:c r="A4" s="20" t="str">
        <x:v>Start</x:v>
      </x:c>
      <x:c r="B4" s="41" t="str">
        <x:v>End (exclusive)</x:v>
      </x:c>
      <x:c r="C4" s="41" t="str">
        <x:v>Group 2 net</x:v>
      </x:c>
      <x:c r="D4" s="41" t="str">
        <x:v>VAT</x:v>
      </x:c>
      <x:c r="E4" s="41" t="str">
        <x:v>Group 2 gross</x:v>
      </x:c>
      <x:c r="F4" s="41" t="str">
        <x:v>G2 status</x:v>
      </x:c>
      <x:c r="G4" s="41" t="str">
        <x:v>Group 3 net</x:v>
      </x:c>
      <x:c r="H4" s="41" t="str">
        <x:v>VAT</x:v>
      </x:c>
      <x:c r="I4" s="41" t="str">
        <x:v>Group 3 gross</x:v>
      </x:c>
      <x:c r="J4" s="41" t="str">
        <x:v>G3 status</x:v>
      </x:c>
      <x:c r="K4" s="21" t="str">
        <x:v>Source ID</x:v>
      </x:c>
    </x:row>
    <x:row r="5">
      <x:c r="A5" s="42" t="n">
        <x:v>45839</x:v>
      </x:c>
      <x:c r="B5" s="36" t="n">
        <x:v>45870</x:v>
      </x:c>
      <x:c r="C5" s="37"/>
      <x:c r="D5" s="38" t="n">
        <x:v>0.12</x:v>
      </x:c>
      <x:c r="E5" s="37" t="n">
        <x:v>37</x:v>
      </x:c>
      <x:c r="F5" s="52" t="str">
        <x:v>Published gross</x:v>
      </x:c>
      <x:c r="G5" s="37"/>
      <x:c r="H5" s="38" t="n">
        <x:v>0.12</x:v>
      </x:c>
      <x:c r="I5" s="37" t="n">
        <x:v>37</x:v>
      </x:c>
      <x:c r="J5" s="52" t="str">
        <x:v>Published gross; category split not shown</x:v>
      </x:c>
      <x:c r="K5" s="23" t="str">
        <x:v>S1</x:v>
      </x:c>
    </x:row>
    <x:row r="6">
      <x:c r="A6" s="42" t="n">
        <x:v>45870</x:v>
      </x:c>
      <x:c r="B6" s="36" t="n">
        <x:v>45962</x:v>
      </x:c>
      <x:c r="C6" s="37" t="n">
        <x:v>39.96</x:v>
      </x:c>
      <x:c r="D6" s="38" t="n">
        <x:v>0.12</x:v>
      </x:c>
      <x:c r="E6" s="37" t="n">
        <x:v>44.7552</x:v>
      </x:c>
      <x:c r="F6" s="52" t="str">
        <x:v>Published</x:v>
      </x:c>
      <x:c r="G6" s="37" t="n">
        <x:v>66.15</x:v>
      </x:c>
      <x:c r="H6" s="38" t="n">
        <x:v>0.12</x:v>
      </x:c>
      <x:c r="I6" s="37" t="n">
        <x:v>74.088</x:v>
      </x:c>
      <x:c r="J6" s="52" t="str">
        <x:v>Published</x:v>
      </x:c>
      <x:c r="K6" s="23" t="str">
        <x:v>S2</x:v>
      </x:c>
    </x:row>
    <x:row r="7">
      <x:c r="A7" s="42" t="n">
        <x:v>45962</x:v>
      </x:c>
      <x:c r="B7" s="36" t="n">
        <x:v>46023</x:v>
      </x:c>
      <x:c r="C7" s="37" t="n">
        <x:v>41.06</x:v>
      </x:c>
      <x:c r="D7" s="38" t="n">
        <x:v>0.12</x:v>
      </x:c>
      <x:c r="E7" s="37" t="n">
        <x:v>45.9872</x:v>
      </x:c>
      <x:c r="F7" s="52" t="str">
        <x:v>Published</x:v>
      </x:c>
      <x:c r="G7" s="37" t="n">
        <x:v>73.74</x:v>
      </x:c>
      <x:c r="H7" s="38" t="n">
        <x:v>0.12</x:v>
      </x:c>
      <x:c r="I7" s="37" t="n">
        <x:v>82.5888</x:v>
      </x:c>
      <x:c r="J7" s="52" t="str">
        <x:v>Published</x:v>
      </x:c>
      <x:c r="K7" s="23" t="str">
        <x:v>S3</x:v>
      </x:c>
    </x:row>
    <x:row r="8">
      <x:c r="A8" s="44" t="n">
        <x:v>46023</x:v>
      </x:c>
      <x:c r="B8" s="45" t="n">
        <x:v>46204</x:v>
      </x:c>
      <x:c r="C8" s="46" t="n">
        <x:v>41.06</x:v>
      </x:c>
      <x:c r="D8" s="47" t="n">
        <x:v>0.16</x:v>
      </x:c>
      <x:c r="E8" s="48" t="n">
        <x:f>C8*(1+D8)</x:f>
        <x:v>47.629599999999996</x:v>
      </x:c>
      <x:c r="F8" s="53" t="str">
        <x:v>Derived; verify invoice</x:v>
      </x:c>
      <x:c r="G8" s="48" t="n">
        <x:v>73.74</x:v>
      </x:c>
      <x:c r="H8" s="50" t="n">
        <x:v>0.16</x:v>
      </x:c>
      <x:c r="I8" s="48" t="n">
        <x:f>G8*(1+H8)</x:f>
        <x:v>85.53839999999998</x:v>
      </x:c>
      <x:c r="J8" s="54" t="str">
        <x:v>Derived; verify invoice</x:v>
      </x:c>
      <x:c r="K8" s="26" t="str">
        <x:v>S3 + S5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1" hidden="0" customWidth="1"/>
    <x:col min="3" max="3" width="21" hidden="0" customWidth="1"/>
    <x:col min="4" max="4" width="21" hidden="0" customWidth="1"/>
  </x:cols>
  <x:sheetData>
    <x:row r="1" ht="32" customHeight="1">
      <x:c r="A1" s="4" t="str">
        <x:v>ASKUE master inputs by tariff period</x:v>
      </x:c>
      <x:c r="B1" s="4" t="str">
        <x:v>ASKUE master inputs by tariff period</x:v>
      </x:c>
      <x:c r="C1" s="4" t="str">
        <x:v>ASKUE master inputs by tariff period</x:v>
      </x:c>
      <x:c r="D1" s="4" t="str">
        <x:v>ASKUE master inputs by tariff period</x:v>
      </x:c>
    </x:row>
    <x:row r="2">
      <x:c r="A2" s="31" t="str">
        <x:v>Only Ввод-Т1 and Ввод-Т2 are used for campus purchase-cost estimation; outgoing cells are not summed to avoid double counting.</x:v>
      </x:c>
      <x:c r="B2" s="31" t="str">
        <x:v>Only Ввод-Т1 and Ввод-Т2 are used for campus purchase-cost estimation; outgoing cells are not summed to avoid double counting.</x:v>
      </x:c>
      <x:c r="C2" s="31" t="str">
        <x:v>Only Ввод-Т1 and Ввод-Т2 are used for campus purchase-cost estimation; outgoing cells are not summed to avoid double counting.</x:v>
      </x:c>
      <x:c r="D2" s="31" t="str">
        <x:v>Only Ввод-Т1 and Ввод-Т2 are used for campus purchase-cost estimation; outgoing cells are not summed to avoid double counting.</x:v>
      </x:c>
    </x:row>
    <x:row r="4" ht="34" customHeight="1">
      <x:c r="A4" s="20" t="str">
        <x:v>Period start</x:v>
      </x:c>
      <x:c r="B4" s="41" t="str">
        <x:v>Ввод-Т1 (kWh)</x:v>
      </x:c>
      <x:c r="C4" s="41" t="str">
        <x:v>Ввод-Т2 (kWh)</x:v>
      </x:c>
      <x:c r="D4" s="21" t="str">
        <x:v>Total (kWh)</x:v>
      </x:c>
    </x:row>
    <x:row r="5">
      <x:c r="A5" s="42" t="n">
        <x:v>45839</x:v>
      </x:c>
      <x:c r="B5" s="63" t="n">
        <x:v>2366930</x:v>
      </x:c>
      <x:c r="C5" s="63" t="n">
        <x:v>1409620</x:v>
      </x:c>
      <x:c r="D5" s="66" t="n">
        <x:f>SUM(B5:C5)</x:f>
        <x:v>3776550</x:v>
      </x:c>
    </x:row>
    <x:row r="6">
      <x:c r="A6" s="42" t="n">
        <x:v>45870</x:v>
      </x:c>
      <x:c r="B6" s="63" t="n">
        <x:v>6333513</x:v>
      </x:c>
      <x:c r="C6" s="63" t="n">
        <x:v>2157871</x:v>
      </x:c>
      <x:c r="D6" s="66" t="n">
        <x:f>SUM(B6:C6)</x:f>
        <x:v>8491384</x:v>
      </x:c>
    </x:row>
    <x:row r="7">
      <x:c r="A7" s="42" t="n">
        <x:v>45962</x:v>
      </x:c>
      <x:c r="B7" s="63" t="n">
        <x:v>6405293</x:v>
      </x:c>
      <x:c r="C7" s="63" t="n">
        <x:v>0</x:v>
      </x:c>
      <x:c r="D7" s="66" t="n">
        <x:f>SUM(B7:C7)</x:f>
        <x:v>6405293</x:v>
      </x:c>
    </x:row>
    <x:row r="8">
      <x:c r="A8" s="42" t="n">
        <x:v>46023</x:v>
      </x:c>
      <x:c r="B8" s="63" t="n">
        <x:v>7603873</x:v>
      </x:c>
      <x:c r="C8" s="63" t="n">
        <x:v>10570036</x:v>
      </x:c>
      <x:c r="D8" s="66" t="n">
        <x:f>SUM(B8:C8)</x:f>
        <x:v>18173909</x:v>
      </x:c>
    </x:row>
    <x:row r="9">
      <x:c r="A9" s="57" t="str">
        <x:v>Total</x:v>
      </x:c>
      <x:c r="B9" s="64" t="n">
        <x:f>SUM(B5:B8)</x:f>
        <x:v>22709609</x:v>
      </x:c>
      <x:c r="C9" s="64" t="n">
        <x:f>SUM(C5:C8)</x:f>
        <x:v>14137527</x:v>
      </x:c>
      <x:c r="D9" s="65" t="n">
        <x:f>SUM(D5:D8)</x:f>
        <x:v>36847136</x:v>
      </x:c>
    </x:row>
    <x:row r="11">
      <x:c r="A11" s="62" t="str">
        <x:v>Data check: Ввод-Т2 records 0 kWh for 2025-11-01 through 2026-01-01. Confirm whether this was a real disconnection/bus transfer or a metering gap before treating the period split as operational evidence.</x:v>
      </x:c>
      <x:c r="B11" s="62"/>
      <x:c r="C11" s="62"/>
      <x:c r="D11" s="62"/>
    </x:row>
    <x:row r="12">
      <x:c r="A12" s="62"/>
      <x:c r="B12" s="62"/>
      <x:c r="C12" s="62"/>
      <x:c r="D12" s="62"/>
    </x:row>
  </x:sheetData>
  <x:mergeCells>
    <x:mergeCell ref="A1:D1"/>
    <x:mergeCell ref="A2:D2"/>
    <x:mergeCell ref="A11:D1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1" hidden="0" customWidth="1"/>
    <x:col min="3" max="3" width="25" hidden="0" customWidth="1"/>
    <x:col min="4" max="4" width="24" hidden="0" customWidth="1"/>
    <x:col min="5" max="5" width="28" hidden="0" customWidth="1"/>
  </x:cols>
  <x:sheetData>
    <x:row r="1" ht="32" customHeight="1">
      <x:c r="A1" s="4" t="str">
        <x:v>Estimated electricity cost by tariff period</x:v>
      </x:c>
      <x:c r="B1" s="4" t="str">
        <x:v>Estimated electricity cost by tariff period</x:v>
      </x:c>
      <x:c r="C1" s="4" t="str">
        <x:v>Estimated electricity cost by tariff period</x:v>
      </x:c>
      <x:c r="D1" s="4" t="str">
        <x:v>Estimated electricity cost by tariff period</x:v>
      </x:c>
      <x:c r="E1" s="4" t="str">
        <x:v>Estimated electricity cost by tariff period</x:v>
      </x:c>
    </x:row>
    <x:row r="2">
      <x:c r="A2" s="31" t="str">
        <x:v>The selected consumer group is controlled on Assumptions!B5. All calculations use gross KZT/kWh rates.</x:v>
      </x:c>
      <x:c r="B2" s="31" t="str">
        <x:v>The selected consumer group is controlled on Assumptions!B5. All calculations use gross KZT/kWh rates.</x:v>
      </x:c>
      <x:c r="C2" s="31" t="str">
        <x:v>The selected consumer group is controlled on Assumptions!B5. All calculations use gross KZT/kWh rates.</x:v>
      </x:c>
      <x:c r="D2" s="31" t="str">
        <x:v>The selected consumer group is controlled on Assumptions!B5. All calculations use gross KZT/kWh rates.</x:v>
      </x:c>
      <x:c r="E2" s="31" t="str">
        <x:v>The selected consumer group is controlled on Assumptions!B5. All calculations use gross KZT/kWh rates.</x:v>
      </x:c>
    </x:row>
    <x:row r="4" ht="34" customHeight="1">
      <x:c r="A4" s="20" t="str">
        <x:v>Period start</x:v>
      </x:c>
      <x:c r="B4" s="41" t="str">
        <x:v>Energy (kWh)</x:v>
      </x:c>
      <x:c r="C4" s="41" t="str">
        <x:v>Applied tariff (KZT/kWh)</x:v>
      </x:c>
      <x:c r="D4" s="41" t="str">
        <x:v>Estimated cost (KZT)</x:v>
      </x:c>
      <x:c r="E4" s="21" t="str">
        <x:v>Rate status</x:v>
      </x:c>
    </x:row>
    <x:row r="5">
      <x:c r="A5" s="71" t="n">
        <x:f>'Tariff Inputs'!A5</x:f>
        <x:v>45839</x:v>
      </x:c>
      <x:c r="B5" s="69" t="n">
        <x:f>'Energy Inputs'!D5</x:f>
        <x:v>3776550</x:v>
      </x:c>
      <x:c r="C5" s="70" t="n">
        <x:f>IF('Assumptions'!$B$5=2,'Tariff Inputs'!E5,'Tariff Inputs'!I5)</x:f>
        <x:v>37</x:v>
      </x:c>
      <x:c r="D5" s="63" t="n">
        <x:f>B5*C5</x:f>
        <x:v>139732350</x:v>
      </x:c>
      <x:c r="E5" s="72" t="str">
        <x:f>IF('Assumptions'!$B$5=2,'Tariff Inputs'!F5,'Tariff Inputs'!J5)</x:f>
        <x:v>Published gross</x:v>
      </x:c>
    </x:row>
    <x:row r="6">
      <x:c r="A6" s="71" t="n">
        <x:f>'Tariff Inputs'!A6</x:f>
        <x:v>45870</x:v>
      </x:c>
      <x:c r="B6" s="69" t="n">
        <x:f>'Energy Inputs'!D6</x:f>
        <x:v>8491384</x:v>
      </x:c>
      <x:c r="C6" s="70" t="n">
        <x:f>IF('Assumptions'!$B$5=2,'Tariff Inputs'!E6,'Tariff Inputs'!I6)</x:f>
        <x:v>44.7552</x:v>
      </x:c>
      <x:c r="D6" s="63" t="n">
        <x:f>B6*C6</x:f>
        <x:v>380033589.1968</x:v>
      </x:c>
      <x:c r="E6" s="72" t="str">
        <x:f>IF('Assumptions'!$B$5=2,'Tariff Inputs'!F6,'Tariff Inputs'!J6)</x:f>
        <x:v>Published</x:v>
      </x:c>
    </x:row>
    <x:row r="7">
      <x:c r="A7" s="71" t="n">
        <x:f>'Tariff Inputs'!A7</x:f>
        <x:v>45962</x:v>
      </x:c>
      <x:c r="B7" s="69" t="n">
        <x:f>'Energy Inputs'!D7</x:f>
        <x:v>6405293</x:v>
      </x:c>
      <x:c r="C7" s="70" t="n">
        <x:f>IF('Assumptions'!$B$5=2,'Tariff Inputs'!E7,'Tariff Inputs'!I7)</x:f>
        <x:v>45.9872</x:v>
      </x:c>
      <x:c r="D7" s="63" t="n">
        <x:f>B7*C7</x:f>
        <x:v>294561490.2496</x:v>
      </x:c>
      <x:c r="E7" s="72" t="str">
        <x:f>IF('Assumptions'!$B$5=2,'Tariff Inputs'!F7,'Tariff Inputs'!J7)</x:f>
        <x:v>Published</x:v>
      </x:c>
    </x:row>
    <x:row r="8">
      <x:c r="A8" s="71" t="n">
        <x:f>'Tariff Inputs'!A8</x:f>
        <x:v>46023</x:v>
      </x:c>
      <x:c r="B8" s="69" t="n">
        <x:f>'Energy Inputs'!D8</x:f>
        <x:v>18173909</x:v>
      </x:c>
      <x:c r="C8" s="70" t="n">
        <x:f>IF('Assumptions'!$B$5=2,'Tariff Inputs'!E8,'Tariff Inputs'!I8)</x:f>
        <x:v>47.629599999999996</x:v>
      </x:c>
      <x:c r="D8" s="63" t="n">
        <x:f>B8*C8</x:f>
        <x:v>865616016.1063999</x:v>
      </x:c>
      <x:c r="E8" s="72" t="str">
        <x:f>IF('Assumptions'!$B$5=2,'Tariff Inputs'!F8,'Tariff Inputs'!J8)</x:f>
        <x:v>Derived; verify invoice</x:v>
      </x:c>
    </x:row>
    <x:row r="9">
      <x:c r="A9" s="57" t="str">
        <x:v>Total / weighted average</x:v>
      </x:c>
      <x:c r="B9" s="64" t="n">
        <x:f>SUM(B5:B8)</x:f>
        <x:v>36847136</x:v>
      </x:c>
      <x:c r="C9" s="67" t="n">
        <x:f>D9/B9</x:f>
        <x:v>45.59223939556116</x:v>
      </x:c>
      <x:c r="D9" s="64" t="n">
        <x:f>SUM(D5:D8)</x:f>
        <x:v>1679943445.5527997</x:v>
      </x:c>
      <x:c r="E9" s="59"/>
    </x:row>
  </x:sheetData>
  <x:mergeCells>
    <x:mergeCell ref="A1:E1"/>
    <x:mergeCell ref="A2:E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48" hidden="0" customWidth="1"/>
  </x:cols>
  <x:sheetData>
    <x:row r="1" ht="32" customHeight="1">
      <x:c r="A1" s="4" t="str">
        <x:v>Model checks</x:v>
      </x:c>
      <x:c r="B1" s="4" t="str">
        <x:v>Model checks</x:v>
      </x:c>
      <x:c r="C1" s="4" t="str">
        <x:v>Model checks</x:v>
      </x:c>
      <x:c r="D1" s="4" t="str">
        <x:v>Model checks</x:v>
      </x:c>
      <x:c r="E1" s="4" t="str">
        <x:v>Model checks</x:v>
      </x:c>
      <x:c r="F1" s="4" t="str">
        <x:v>Model checks</x:v>
      </x:c>
    </x:row>
    <x:row r="2">
      <x:c r="A2" s="73" t="str">
        <x:v>MODEL STATUS</x:v>
      </x:c>
      <x:c r="B2" s="73" t="str">
        <x:f>IF(COUNTIF(E5:E8,"FAIL")=0,"PASS","FAIL")</x:f>
        <x:v>PASS</x:v>
      </x:c>
    </x:row>
    <x:row r="4" ht="34" customHeight="1">
      <x:c r="A4" s="20" t="str">
        <x:v>Check</x:v>
      </x:c>
      <x:c r="B4" s="41" t="str">
        <x:v>Actual</x:v>
      </x:c>
      <x:c r="C4" s="41" t="str">
        <x:v>Expected</x:v>
      </x:c>
      <x:c r="D4" s="41" t="str">
        <x:v>Difference</x:v>
      </x:c>
      <x:c r="E4" s="41" t="str">
        <x:v>Status</x:v>
      </x:c>
      <x:c r="F4" s="21" t="str">
        <x:v>Notes</x:v>
      </x:c>
    </x:row>
    <x:row r="5">
      <x:c r="A5" s="22" t="str">
        <x:v>Master input energy ties to audit</x:v>
      </x:c>
      <x:c r="B5" s="63" t="n">
        <x:f>'Energy Inputs'!D9</x:f>
        <x:v>36847136</x:v>
      </x:c>
      <x:c r="C5" s="63" t="n">
        <x:v>36847136</x:v>
      </x:c>
      <x:c r="D5" s="63" t="n">
        <x:f>B5-C5</x:f>
        <x:v>0</x:v>
      </x:c>
      <x:c r="E5" s="43" t="str">
        <x:f>IF(ABS(D5)&lt;0.01,"OK","FAIL")</x:f>
        <x:v>OK</x:v>
      </x:c>
      <x:c r="F5" s="72" t="str">
        <x:v>Difference must be zero.</x:v>
      </x:c>
    </x:row>
    <x:row r="6">
      <x:c r="A6" s="22" t="str">
        <x:v>All tariff periods populated</x:v>
      </x:c>
      <x:c r="B6" s="63" t="n">
        <x:f>COUNT('Cost Calculation'!C5:C8)</x:f>
        <x:v>4</x:v>
      </x:c>
      <x:c r="C6" s="63" t="n">
        <x:v>4</x:v>
      </x:c>
      <x:c r="D6" s="63" t="n">
        <x:f>B6-C6</x:f>
        <x:v>0</x:v>
      </x:c>
      <x:c r="E6" s="43" t="str">
        <x:f>IF(D6=0,"OK","FAIL")</x:f>
        <x:v>OK</x:v>
      </x:c>
      <x:c r="F6" s="72" t="str">
        <x:v>Four tariff periods cover the full year.</x:v>
      </x:c>
    </x:row>
    <x:row r="7">
      <x:c r="A7" s="22" t="str">
        <x:v>Summary cost ties to calculation</x:v>
      </x:c>
      <x:c r="B7" s="63" t="n">
        <x:f>'Summary'!B5</x:f>
        <x:v>1679943445.5527997</x:v>
      </x:c>
      <x:c r="C7" s="63" t="n">
        <x:f>'Cost Calculation'!D9</x:f>
        <x:v>1679943445.5527997</x:v>
      </x:c>
      <x:c r="D7" s="63" t="n">
        <x:f>B7-C7</x:f>
        <x:v>0</x:v>
      </x:c>
      <x:c r="E7" s="43" t="str">
        <x:f>IF(ABS(D7)&lt;0.01,"OK","FAIL")</x:f>
        <x:v>OK</x:v>
      </x:c>
      <x:c r="F7" s="72" t="str">
        <x:v>Difference must be zero.</x:v>
      </x:c>
    </x:row>
    <x:row r="8">
      <x:c r="A8" s="25" t="str">
        <x:v>Consumer group is valid</x:v>
      </x:c>
      <x:c r="B8" s="74" t="n">
        <x:f>'Assumptions'!B5</x:f>
        <x:v>2</x:v>
      </x:c>
      <x:c r="C8" s="74" t="str">
        <x:v>2 or 3</x:v>
      </x:c>
      <x:c r="D8" s="74"/>
      <x:c r="E8" s="51" t="str">
        <x:f>IF(OR(B8=2,B8=3),"OK","FAIL")</x:f>
        <x:v>OK</x:v>
      </x:c>
      <x:c r="F8" s="75" t="str">
        <x:v>2 = non-household legal entity; 3 = state-budget funded.</x:v>
      </x:c>
    </x:row>
  </x:sheetData>
  <x:mergeCells>
    <x:mergeCell ref="A1:F1"/>
  </x:mergeCells>
  <x:conditionalFormatting sqref="E5:E8">
    <x:cfRule type="containsText" dxfId="0" priority="1" operator="containsText" text="OK"/>
    <x:cfRule type="containsText" dxfId="1" priority="2" operator="containsText" text="FAIL"/>
  </x:conditionalFormatting>
  <x:conditionalFormatting sqref="B2:B2">
    <x:cfRule type="containsText" dxfId="2" priority="3" operator="containsText" text="PASS"/>
    <x:cfRule type="containsText" dxfId="3" priority="4" operator="containsText" text="FAIL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1" hidden="0" customWidth="1"/>
    <x:col min="3" max="3" width="68" hidden="0" customWidth="1"/>
    <x:col min="4" max="4" width="52" hidden="0" customWidth="1"/>
    <x:col min="5" max="5" width="15" hidden="0" customWidth="1"/>
    <x:col min="6" max="6" width="42" hidden="0" customWidth="1"/>
  </x:cols>
  <x:sheetData>
    <x:row r="1" ht="32" customHeight="1">
      <x:c r="A1" s="4" t="str">
        <x:v>Sources and evidence</x:v>
      </x:c>
      <x:c r="B1" s="4" t="str">
        <x:v>Sources and evidence</x:v>
      </x:c>
      <x:c r="C1" s="4" t="str">
        <x:v>Sources and evidence</x:v>
      </x:c>
      <x:c r="D1" s="4" t="str">
        <x:v>Sources and evidence</x:v>
      </x:c>
      <x:c r="E1" s="4" t="str">
        <x:v>Sources and evidence</x:v>
      </x:c>
      <x:c r="F1" s="4" t="str">
        <x:v>Sources and evidence</x:v>
      </x:c>
    </x:row>
    <x:row r="3" ht="34" customHeight="1">
      <x:c r="A3" s="20" t="str">
        <x:v>ID</x:v>
      </x:c>
      <x:c r="B3" s="41" t="str">
        <x:v>Source</x:v>
      </x:c>
      <x:c r="C3" s="41" t="str">
        <x:v>URL</x:v>
      </x:c>
      <x:c r="D3" s="41" t="str">
        <x:v>Supports</x:v>
      </x:c>
      <x:c r="E3" s="41" t="str">
        <x:v>Accessed</x:v>
      </x:c>
      <x:c r="F3" s="21" t="str">
        <x:v>Reliability / note</x:v>
      </x:c>
    </x:row>
    <x:row r="4" ht="78" customHeight="1">
      <x:c r="A4" s="22" t="str">
        <x:v>S1</x:v>
      </x:c>
      <x:c r="B4" s="52" t="str">
        <x:v>Оңтүстік Жарық Транзит / Энергопоток</x:v>
      </x:c>
      <x:c r="C4" s="52" t="str">
        <x:v>https://energopotok.kz/?p=3528</x:v>
      </x:c>
      <x:c r="D4" s="52" t="str">
        <x:v>37.00 KZT/kWh for legal entities from 2024-05-01; used for July 2025 until the next published change.</x:v>
      </x:c>
      <x:c r="E4" s="52" t="str">
        <x:v>2026-07-20</x:v>
      </x:c>
      <x:c r="F4" s="72" t="str">
        <x:v>Official supplier notice; VAT split is not stated.</x:v>
      </x:c>
    </x:row>
    <x:row r="5" ht="78" customHeight="1">
      <x:c r="A5" s="22" t="str">
        <x:v>S2</x:v>
      </x:c>
      <x:c r="B5" s="52" t="str">
        <x:v>Оңтүстік Жарық Транзит tariff PDF</x:v>
      </x:c>
      <x:c r="C5" s="52" t="str">
        <x:v>https://energopotok.kz/wp-content/uploads/2025/07/%D0%98%D0%BD%D1%84%D0%BE%D1%80%D0%BC%D0%B0%D1%86%D0%B8%D1%8F-%D0%B4%D0%BB%D1%8F-%D1%81%D0%B0%D0%B9%D1%82%D0%B0-%D0%9E%D0%96%D0%A2-%D0%BF%D0%BE-%D1%81%D0%BD%D0%B0%D0%B1%D0%B6%D0%B5%D0%BD%D0%B8%D1%8E-%D1%80%D1%83%D1%81.pdf</x:v>
      </x:c>
      <x:c r="D5" s="52" t="str">
        <x:v>From 2025-08-01: Group 2 = 44.7552 gross / 39.96 net; Group 3 = 74.088 gross / 66.15 net.</x:v>
      </x:c>
      <x:c r="E5" s="52" t="str">
        <x:v>2026-07-20</x:v>
      </x:c>
      <x:c r="F5" s="72" t="str">
        <x:v>Official supplier PDF.</x:v>
      </x:c>
    </x:row>
    <x:row r="6" ht="78" customHeight="1">
      <x:c r="A6" s="22" t="str">
        <x:v>S3</x:v>
      </x:c>
      <x:c r="B6" s="52" t="str">
        <x:v>Оңтүстік Жарық Транзит tariff PDF</x:v>
      </x:c>
      <x:c r="C6" s="52" t="str">
        <x:v>https://energopotok.kz/wp-content/uploads/2025/10/%D0%98%D0%BD%D1%84%D0%BE%D1%80%D0%BC%D0%B0%D1%86%D0%B8%D1%8F-%D0%B4%D0%BB%D1%8F-%D1%81%D0%B0%D0%B9%D1%82%D0%B0-%D0%9E%D0%96%D0%A2-%D0%BF%D0%BE-%D1%81%D0%BD%D0%B0%D0%B1%D0%B6%D0%B5%D0%BD%D0%B8%D1%8E-09.10.2025.pdf</x:v>
      </x:c>
      <x:c r="D6" s="52" t="str">
        <x:v>From 2025-11-01: Group 2 = 45.9872 gross / 41.06 net; Group 3 = 82.5888 gross / 73.74 net.</x:v>
      </x:c>
      <x:c r="E6" s="52" t="str">
        <x:v>2026-07-20</x:v>
      </x:c>
      <x:c r="F6" s="72" t="str">
        <x:v>Official supplier PDF.</x:v>
      </x:c>
    </x:row>
    <x:row r="7" ht="78" customHeight="1">
      <x:c r="A7" s="22" t="str">
        <x:v>S4</x:v>
      </x:c>
      <x:c r="B7" s="52" t="str">
        <x:v>Kazakhstan public procurement registry</x:v>
      </x:c>
      <x:c r="C7" s="52" t="str">
        <x:v>https://www.goszakup.gov.kz/ru/registry/show_supplier/24417</x:v>
      </x:c>
      <x:c r="D7" s="52" t="str">
        <x:v>University legal form and notice that it is not in the state-customer registry.</x:v>
      </x:c>
      <x:c r="E7" s="52" t="str">
        <x:v>2026-07-20</x:v>
      </x:c>
      <x:c r="F7" s="72" t="str">
        <x:v>Official registry; useful but not a substitute for the electricity contract group.</x:v>
      </x:c>
    </x:row>
    <x:row r="8" ht="78" customHeight="1">
      <x:c r="A8" s="22" t="str">
        <x:v>S5</x:v>
      </x:c>
      <x:c r="B8" s="52" t="str">
        <x:v>Ministry of Finance of Kazakhstan</x:v>
      </x:c>
      <x:c r="C8" s="52" t="str">
        <x:v>https://www.gov.kz/memleket/entities/minfin/press/news/details/1119650?lang=ru</x:v>
      </x:c>
      <x:c r="D8" s="52" t="str">
        <x:v>VAT is 16% from 2026-01-01, including contracts signed earlier.</x:v>
      </x:c>
      <x:c r="E8" s="52" t="str">
        <x:v>2026-07-20</x:v>
      </x:c>
      <x:c r="F8" s="72" t="str">
        <x:v>Official government source.</x:v>
      </x:c>
    </x:row>
    <x:row r="9" ht="78" customHeight="1">
      <x:c r="A9" s="25" t="str">
        <x:v>S6</x:v>
      </x:c>
      <x:c r="B9" s="54" t="str">
        <x:v>Quat normalized ASKUE data</x:v>
      </x:c>
      <x:c r="C9" s="54" t="str">
        <x:v>C:\Users\USER\lightning-ai\data\processed\hourly_energy.csv</x:v>
      </x:c>
      <x:c r="D9" s="54" t="str">
        <x:v>Hourly active import for Ввод-Т1 and Ввод-Т2, 2025-07-01 to 2026-07-01.</x:v>
      </x:c>
      <x:c r="E9" s="54" t="str">
        <x:v>2026-07-20</x:v>
      </x:c>
      <x:c r="F9" s="75" t="str">
        <x:v>Local normalized dataset; annual input total reconciles to source Excel files.</x:v>
      </x:c>
    </x:row>
  </x:sheetData>
  <x:mergeCells>
    <x:mergeCell ref="A1:F1"/>
  </x:mergeCells>
  <x:pageMargins left="0.7" right="0.7" top="0.75" bottom="0.75" header="0.3" footer="0.3"/>
</x:worksheet>
</file>