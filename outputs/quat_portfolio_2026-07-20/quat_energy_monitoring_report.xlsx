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18949bb6f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8f7c2784ff4455e"/>
    <x:sheet xmlns:r="http://schemas.openxmlformats.org/officeDocument/2006/relationships" name="Monthly Inputs" sheetId="2" r:id="Ra3cac46c1b5b4a31"/>
    <x:sheet xmlns:r="http://schemas.openxmlformats.org/officeDocument/2006/relationships" name="Load Ranking" sheetId="3" r:id="Rb6b547acff5e4c9e"/>
    <x:sheet xmlns:r="http://schemas.openxmlformats.org/officeDocument/2006/relationships" name="Candidate Events" sheetId="4" r:id="R82fc9a2768264658"/>
    <x:sheet xmlns:r="http://schemas.openxmlformats.org/officeDocument/2006/relationships" name="Model Quality" sheetId="5" r:id="Rb05764fa2f7d4827"/>
    <x:sheet xmlns:r="http://schemas.openxmlformats.org/officeDocument/2006/relationships" name="Tariffs" sheetId="6" r:id="R1864496fdea94048"/>
    <x:sheet xmlns:r="http://schemas.openxmlformats.org/officeDocument/2006/relationships" name="Checks" sheetId="7" r:id="R53ee03a8d7cc4ec1"/>
    <x:sheet xmlns:r="http://schemas.openxmlformats.org/officeDocument/2006/relationships" name="Sources" sheetId="8" r:id="R3a67b42c722e4e43"/>
  </x:sheets>
</x:workbook>
</file>

<file path=xl/comments1.xml><?xml version="1.0" encoding="utf-8"?>
<x:comments xmlns:x="http://schemas.openxmlformats.org/spreadsheetml/2006/main">
  <x:authors>
    <x:author>tc={6B7F9486-264F-B519-4430-5B91B5C3353A}</x:author>
    <x:author>tc={B5D2BF07-A3A0-923B-9A74-3FCF2546E704}</x:author>
    <x:author>tc={3CC495E5-E727-2656-21A3-ED8B654E3C43}</x:author>
    <x:author>tc={0F904CCE-9745-B00E-6822-70C0DF796217}</x:author>
    <x:author>tc={3244382E-2168-9314-9A46-4A8356AA76C0}</x:author>
    <x:author>tc={E6927231-BC3F-E670-7B7C-AA763C5A5500}</x:author>
    <x:author>tc={878B3E2C-C467-5444-8C12-9BBD9C5B4F2D}</x:author>
    <x:author>tc={98A39F21-C26A-9659-B8E7-08C34A59983B}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https://energopotok.kz/?p=3528</x:t>
        </x:r>
      </x:text>
    </x:comment>
    <x:comment ref="I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https://energopotok.kz/?p=3528</x:t>
        </x:r>
      </x:text>
    </x:comment>
    <x:comment ref="E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https://energopotok.kz/wp-content/uploads/2025/07/%D0%98%D0%BD%D1%84%D0%BE%D1%80%D0%BC%D0%B0%D1%86%D0%B8%D1%8F-%D0%B4%D0%BB%D1%8F-%D1%81%D0%B0%D0%B9%D1%82%D0%B0-%D0%9E%D0%96%D0%A2-%D0%BF%D0%BE-%D1%81%D0%BD%D0%B0%D0%B1%D0%B6%D0%B5%D0%BD%D0%B8%D1%8E-%D1%80%D1%83%D1%81.pdf</x:t>
        </x:r>
      </x:text>
    </x:comment>
    <x:comment ref="I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https://energopotok.kz/wp-content/uploads/2025/07/%D0%98%D0%BD%D1%84%D0%BE%D1%80%D0%BC%D0%B0%D1%86%D0%B8%D1%8F-%D0%B4%D0%BB%D1%8F-%D1%81%D0%B0%D0%B9%D1%82%D0%B0-%D0%9E%D0%96%D0%A2-%D0%BF%D0%BE-%D1%81%D0%BD%D0%B0%D0%B1%D0%B6%D0%B5%D0%BD%D0%B8%D1%8E-%D1%80%D1%83%D1%81.pdf</x:t>
        </x:r>
      </x:text>
    </x:comment>
    <x:comment ref="E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https://energopotok.kz/wp-content/uploads/2025/10/%D0%98%D0%BD%D1%84%D0%BE%D1%80%D0%BC%D0%B0%D1%86%D0%B8%D1%8F-%D0%B4%D0%BB%D1%8F-%D1%81%D0%B0%D0%B9%D1%82%D0%B0-%D0%9E%D0%96%D0%A2-%D0%BF%D0%BE-%D1%81%D0%BD%D0%B0%D0%B1%D0%B6%D0%B5%D0%BD%D0%B8%D1%8E-09.10.2025.pdf</x:t>
        </x:r>
      </x:text>
    </x:comment>
    <x:comment ref="I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https://energopotok.kz/wp-content/uploads/2025/10/%D0%98%D0%BD%D1%84%D0%BE%D1%80%D0%BC%D0%B0%D1%86%D0%B8%D1%8F-%D0%B4%D0%BB%D1%8F-%D1%81%D0%B0%D0%B9%D1%82%D0%B0-%D0%9E%D0%96%D0%A2-%D0%BF%D0%BE-%D1%81%D0%BD%D0%B0%D0%B1%D0%B6%D0%B5%D0%BD%D0%B8%D1%8E-09.10.2025.pdf</x:t>
        </x:r>
      </x:text>
    </x:comment>
    <x:comment ref="E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https://energopotok.kz/wp-content/uploads/2025/10/%D0%98%D0%BD%D1%84%D0%BE%D1%80%D0%BC%D0%B0%D1%86%D0%B8%D1%8F-%D0%B4%D0%BB%D1%8F-%D1%81%D0%B0%D0%B9%D1%82%D0%B0-%D0%9E%D0%96%D0%A2-%D0%BF%D0%BE-%D1%81%D0%BD%D0%B0%D0%B1%D0%B6%D0%B5%D0%BD%D0%B8%D1%8E-09.10.2025.pdf | https://www.gov.kz/memleket/entities/minfin/press/news/details/1119650?lang=ru</x:t>
        </x:r>
      </x:text>
    </x:comment>
    <x:comment ref="I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https://energopotok.kz/wp-content/uploads/2025/10/%D0%98%D0%BD%D1%84%D0%BE%D1%80%D0%BC%D0%B0%D1%86%D0%B8%D1%8F-%D0%B4%D0%BB%D1%8F-%D1%81%D0%B0%D0%B9%D1%82%D0%B0-%D0%9E%D0%96%D0%A2-%D0%BF%D0%BE-%D1%81%D0%BD%D0%B0%D0%B1%D0%B6%D0%B5%D0%BD%D0%B8%D1%8E-09.10.2025.pdf | https://www.gov.kz/memleket/entities/minfin/press/news/details/1119650?lang=ru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-"/>
    <x:numFmt numFmtId="201" formatCode="0.0000"/>
    <x:numFmt numFmtId="202" formatCode="0.0%"/>
    <x:numFmt numFmtId="203" formatCode="yyyy-mm-dd hh:mm"/>
    <x:numFmt numFmtId="204" formatCode="#,##0.0;[Red](#,##0.0);-"/>
    <x:numFmt numFmtId="205" formatCode="yyyy-mm-dd"/>
    <x:numFmt numFmtId="206" formatCode="0%"/>
    <x:numFmt numFmtId="207" formatCode="0.00,, &quot;GWh&quot;"/>
    <x:numFmt numFmtId="208" formatCode="0.0,, &quot;M KZT&quot;"/>
    <x:numFmt numFmtId="209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B45309"/>
      <x:name val="Carlito"/>
    </x:font>
    <x:font>
      <x:b/>
      <x:sz val="11"/>
      <x:color rgb="FF0000FF"/>
      <x:name val="Carlito"/>
    </x:font>
    <x:font>
      <x:b/>
      <x:sz val="18"/>
      <x:color rgb="FF15803D"/>
      <x:name val="Carlito"/>
    </x:font>
    <x:font>
      <x:sz val="11"/>
      <x:color rgb="FFB4530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4F1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</x:fills>
  <x:borders count="24">
    <x:border/>
    <x:border>
      <x:right style="thin">
        <x:color rgb="FFB7D8D2"/>
      </x:right>
    </x:border>
    <x:border>
      <x:left style="thin">
        <x:color rgb="FFB7D8D2"/>
      </x:left>
      <x:right style="thin">
        <x:color rgb="FFB7D8D2"/>
      </x:right>
    </x:border>
    <x:border>
      <x:left style="thin">
        <x:color rgb="FFB7D8D2"/>
      </x:left>
    </x:border>
    <x:border>
      <x:bottom style="double">
        <x:color rgb="FF17324D"/>
      </x:bottom>
    </x:border>
    <x:border>
      <x:left style="thin">
        <x:color rgb="FFC9D4DE"/>
      </x:left>
      <x:right style="thin">
        <x:color rgb="FFB7D8D2"/>
      </x:right>
      <x:top style="thin">
        <x:color rgb="FFC9D4DE"/>
      </x:top>
    </x:border>
    <x:border>
      <x:left style="thin">
        <x:color rgb="FFB7D8D2"/>
      </x:left>
      <x:right style="thin">
        <x:color rgb="FFB7D8D2"/>
      </x:right>
      <x:top style="thin">
        <x:color rgb="FFC9D4DE"/>
      </x:top>
    </x:border>
    <x:border>
      <x:left style="thin">
        <x:color rgb="FFB7D8D2"/>
      </x:left>
      <x:right style="thin">
        <x:color rgb="FFC9D4DE"/>
      </x:right>
      <x:top style="thin">
        <x:color rgb="FFC9D4DE"/>
      </x:top>
    </x:border>
    <x:border>
      <x:left style="thin">
        <x:color rgb="FFC9D4DE"/>
      </x:left>
    </x:border>
    <x:border>
      <x:right style="thin">
        <x:color rgb="FFC9D4DE"/>
      </x:right>
    </x:border>
    <x:border>
      <x:left style="thin">
        <x:color rgb="FFC9D4DE"/>
      </x:left>
      <x:bottom style="thin">
        <x:color rgb="FFC9D4DE"/>
      </x:bottom>
    </x:border>
    <x:border>
      <x:bottom style="thin">
        <x:color rgb="FFC9D4DE"/>
      </x:bottom>
    </x:border>
    <x:border>
      <x:right style="thin">
        <x:color rgb="FFC9D4DE"/>
      </x:right>
      <x:bottom style="thin">
        <x:color rgb="FFC9D4DE"/>
      </x:bottom>
    </x:border>
    <x:border>
      <x:left style="thin">
        <x:color rgb="FFC9D4DE"/>
      </x:left>
      <x:top style="thin">
        <x:color rgb="FFC9D4DE"/>
      </x:top>
    </x:border>
    <x:border>
      <x:right style="thin">
        <x:color rgb="FFC9D4DE"/>
      </x:right>
      <x:top style="thin">
        <x:color rgb="FFC9D4DE"/>
      </x:top>
    </x:border>
    <x:border>
      <x:right style="thin">
        <x:color rgb="FFE7C873"/>
      </x:right>
      <x:bottom style="thin">
        <x:color rgb="FFE7C873"/>
      </x:bottom>
    </x:border>
    <x:border>
      <x:left style="thin">
        <x:color rgb="FFE7C873"/>
      </x:left>
      <x:right style="thin">
        <x:color rgb="FFE7C873"/>
      </x:right>
      <x:bottom style="thin">
        <x:color rgb="FFE7C873"/>
      </x:bottom>
    </x:border>
    <x:border>
      <x:left style="thin">
        <x:color rgb="FFE7C873"/>
      </x:left>
      <x:bottom style="thin">
        <x:color rgb="FFE7C873"/>
      </x:bottom>
    </x:border>
    <x:border>
      <x:right style="thin">
        <x:color rgb="FFE7C873"/>
      </x:right>
      <x:top style="thin">
        <x:color rgb="FFE7C873"/>
      </x:top>
      <x:bottom style="thin">
        <x:color rgb="FFE7C873"/>
      </x:bottom>
    </x:border>
    <x:border>
      <x:left style="thin">
        <x:color rgb="FFE7C873"/>
      </x:left>
      <x:right style="thin">
        <x:color rgb="FFE7C873"/>
      </x:right>
      <x:top style="thin">
        <x:color rgb="FFE7C873"/>
      </x:top>
      <x:bottom style="thin">
        <x:color rgb="FFE7C873"/>
      </x:bottom>
    </x:border>
    <x:border>
      <x:left style="thin">
        <x:color rgb="FFE7C873"/>
      </x:left>
      <x:top style="thin">
        <x:color rgb="FFE7C873"/>
      </x:top>
      <x:bottom style="thin">
        <x:color rgb="FFE7C873"/>
      </x:bottom>
    </x:border>
    <x:border>
      <x:right style="thin">
        <x:color rgb="FFE7C873"/>
      </x:right>
      <x:top style="thin">
        <x:color rgb="FFE7C873"/>
      </x:top>
    </x:border>
    <x:border>
      <x:left style="thin">
        <x:color rgb="FFE7C873"/>
      </x:left>
      <x:right style="thin">
        <x:color rgb="FFE7C873"/>
      </x:right>
      <x:top style="thin">
        <x:color rgb="FFE7C873"/>
      </x:top>
    </x:border>
    <x:border>
      <x:left style="thin">
        <x:color rgb="FFE7C873"/>
      </x:left>
      <x:top style="thin">
        <x:color rgb="FFE7C873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0" fillId="0" borderId="0" xfId="0" applyNumberFormat="1" applyFont="1" applyFill="1" applyBorder="1"/>
    <x:xf numFmtId="200" fontId="4" fillId="5" borderId="4" xfId="0" applyNumberFormat="1" applyFont="1" applyFill="1" applyBorder="1"/>
    <x:xf numFmtId="201" fontId="0" fillId="0" borderId="0" xfId="0" applyNumberFormat="1" applyFont="1" applyFill="1" applyBorder="1"/>
    <x:xf numFmtId="201" fontId="4" fillId="5" borderId="4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4" fillId="5" borderId="10" xfId="0" applyNumberFormat="1" applyFont="1" applyFill="1" applyBorder="1"/>
    <x:xf numFmtId="200" fontId="4" fillId="5" borderId="11" xfId="0" applyNumberFormat="1" applyFont="1" applyFill="1" applyBorder="1"/>
    <x:xf numFmtId="201" fontId="4" fillId="5" borderId="1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2" fontId="0" fillId="0" borderId="9" xfId="0" applyNumberFormat="1" applyFont="1" applyFill="1" applyBorder="1"/>
    <x:xf numFmtId="204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4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6" fillId="6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0" borderId="8" xfId="0" applyNumberFormat="1" applyFont="1" applyFill="1" applyBorder="1"/>
    <x:xf numFmtId="205" fontId="0" fillId="0" borderId="10" xfId="0" applyNumberFormat="1" applyFont="1" applyFill="1" applyBorder="1"/>
    <x:xf numFmtId="205" fontId="0" fillId="0" borderId="11" xfId="0" applyNumberFormat="1" applyFont="1" applyFill="1" applyBorder="1"/>
    <x:xf numFmtId="201" fontId="0" fillId="0" borderId="11" xfId="0" applyNumberFormat="1" applyFont="1" applyFill="1" applyBorder="1"/>
    <x:xf numFmtId="206" fontId="0" fillId="0" borderId="11" xfId="0" applyNumberFormat="1" applyFont="1" applyFill="1" applyBorder="1"/>
    <x:xf numFmtId="201" fontId="0" fillId="6" borderId="11" xfId="0" applyNumberFormat="1" applyFont="1" applyFill="1" applyBorder="1"/>
    <x:xf numFmtId="0" fontId="0" fillId="6" borderId="11" xfId="0" applyNumberFormat="1" applyFont="1" applyFill="1" applyBorder="1"/>
    <x:xf numFmtId="206" fontId="0" fillId="6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1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0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207" fontId="7" fillId="5" borderId="13" xfId="0" applyNumberFormat="1" applyFont="1" applyFill="1" applyBorder="1" applyAlignment="1">
      <x:alignment horizontal="center" vertical="center"/>
    </x:xf>
    <x:xf numFmtId="207" fontId="7" fillId="5" borderId="14" xfId="0" applyNumberFormat="1" applyFont="1" applyFill="1" applyBorder="1" applyAlignment="1">
      <x:alignment horizontal="center" vertical="center"/>
    </x:xf>
    <x:xf numFmtId="207" fontId="7" fillId="5" borderId="10" xfId="0" applyNumberFormat="1" applyFont="1" applyFill="1" applyBorder="1" applyAlignment="1">
      <x:alignment horizontal="center" vertical="center"/>
    </x:xf>
    <x:xf numFmtId="207" fontId="7" fillId="5" borderId="12" xfId="0" applyNumberFormat="1" applyFont="1" applyFill="1" applyBorder="1" applyAlignment="1">
      <x:alignment horizontal="center" vertical="center"/>
    </x:xf>
    <x:xf numFmtId="208" fontId="7" fillId="5" borderId="13" xfId="0" applyNumberFormat="1" applyFont="1" applyFill="1" applyBorder="1" applyAlignment="1">
      <x:alignment horizontal="center" vertical="center"/>
    </x:xf>
    <x:xf numFmtId="208" fontId="7" fillId="5" borderId="14" xfId="0" applyNumberFormat="1" applyFont="1" applyFill="1" applyBorder="1" applyAlignment="1">
      <x:alignment horizontal="center" vertical="center"/>
    </x:xf>
    <x:xf numFmtId="208" fontId="7" fillId="5" borderId="10" xfId="0" applyNumberFormat="1" applyFont="1" applyFill="1" applyBorder="1" applyAlignment="1">
      <x:alignment horizontal="center" vertical="center"/>
    </x:xf>
    <x:xf numFmtId="208" fontId="7" fillId="5" borderId="12" xfId="0" applyNumberFormat="1" applyFont="1" applyFill="1" applyBorder="1" applyAlignment="1">
      <x:alignment horizontal="center" vertical="center"/>
    </x:xf>
    <x:xf numFmtId="209" fontId="7" fillId="5" borderId="13" xfId="0" applyNumberFormat="1" applyFont="1" applyFill="1" applyBorder="1" applyAlignment="1">
      <x:alignment horizontal="center" vertical="center"/>
    </x:xf>
    <x:xf numFmtId="209" fontId="7" fillId="5" borderId="14" xfId="0" applyNumberFormat="1" applyFont="1" applyFill="1" applyBorder="1" applyAlignment="1">
      <x:alignment horizontal="center" vertical="center"/>
    </x:xf>
    <x:xf numFmtId="209" fontId="7" fillId="5" borderId="10" xfId="0" applyNumberFormat="1" applyFont="1" applyFill="1" applyBorder="1" applyAlignment="1">
      <x:alignment horizontal="center" vertical="center"/>
    </x:xf>
    <x:xf numFmtId="209" fontId="7" fillId="5" borderId="12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8" fillId="6" borderId="0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1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vertical="top" wrapText="1"/>
    </x:xf>
    <x:xf numFmtId="0" fontId="8" fillId="6" borderId="16" xfId="0" applyNumberFormat="1" applyFont="1" applyFill="1" applyBorder="1" applyAlignment="1">
      <x:alignment vertical="top" wrapText="1"/>
    </x:xf>
    <x:xf numFmtId="0" fontId="8" fillId="6" borderId="17" xfId="0" applyNumberFormat="1" applyFont="1" applyFill="1" applyBorder="1" applyAlignment="1">
      <x:alignment vertical="top" wrapText="1"/>
    </x:xf>
    <x:xf numFmtId="0" fontId="8" fillId="6" borderId="18" xfId="0" applyNumberFormat="1" applyFont="1" applyFill="1" applyBorder="1" applyAlignment="1">
      <x:alignment vertical="top" wrapText="1"/>
    </x:xf>
    <x:xf numFmtId="0" fontId="8" fillId="6" borderId="19" xfId="0" applyNumberFormat="1" applyFont="1" applyFill="1" applyBorder="1" applyAlignment="1">
      <x:alignment vertical="top" wrapText="1"/>
    </x:xf>
    <x:xf numFmtId="0" fontId="8" fillId="6" borderId="20" xfId="0" applyNumberFormat="1" applyFont="1" applyFill="1" applyBorder="1" applyAlignment="1">
      <x:alignment vertical="top" wrapText="1"/>
    </x:xf>
    <x:xf numFmtId="0" fontId="8" fillId="6" borderId="21" xfId="0" applyNumberFormat="1" applyFont="1" applyFill="1" applyBorder="1" applyAlignment="1">
      <x:alignment vertical="top" wrapText="1"/>
    </x:xf>
    <x:xf numFmtId="0" fontId="8" fillId="6" borderId="22" xfId="0" applyNumberFormat="1" applyFont="1" applyFill="1" applyBorder="1" applyAlignment="1">
      <x:alignment vertical="top" wrapText="1"/>
    </x:xf>
    <x:xf numFmtId="0" fontId="8" fillId="6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B45309"/>
      </x:font>
      <x:fill>
        <x:patternFill patternType="solid">
          <x:bgColor rgb="FFFFF4CC"/>
        </x:patternFill>
      </x:fill>
    </x:dxf>
    <x:dxf>
      <x:font>
        <x:b/>
        <x:color rgb="FFB45309"/>
      </x:font>
      <x:fill>
        <x:patternFill patternType="solid">
          <x:bgColor rgb="FFFFF4CC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FF4CC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FF4CC"/>
        </x:patternFill>
      </x:fill>
    </x:dxf>
    <x:dxf>
      <x:font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7324D"/>
      </x:font>
      <x:fill>
        <x:patternFill patternType="solid">
          <x:bgColor rgb="FFEAF2F8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15803D"/>
        </x:patternFill>
      </x:fill>
    </x:dxf>
    <x:dxf>
      <x:font>
        <x:b/>
        <x:color rgb="FFFFFFFF"/>
      </x:font>
      <x:fill>
        <x:patternFill patternType="solid">
          <x:bgColor rgb="FFB91C1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18705abe14a0e" /><Relationship Type="http://schemas.openxmlformats.org/officeDocument/2006/relationships/theme" Target="/xl/theme/theme1.xml" Id="R8dd289f656f246a7" /><Relationship Type="http://schemas.openxmlformats.org/officeDocument/2006/relationships/sharedStrings" Target="/xl/sharedStrings.xml" Id="R8df86a09fa0e4c42" /><Relationship Type="http://schemas.openxmlformats.org/officeDocument/2006/relationships/worksheet" Target="/xl/worksheets/sheet1.xml" Id="R48f7c2784ff4455e" /><Relationship Type="http://schemas.openxmlformats.org/officeDocument/2006/relationships/worksheet" Target="/xl/worksheets/sheet2.xml" Id="Ra3cac46c1b5b4a31" /><Relationship Type="http://schemas.openxmlformats.org/officeDocument/2006/relationships/worksheet" Target="/xl/worksheets/sheet3.xml" Id="Rb6b547acff5e4c9e" /><Relationship Type="http://schemas.openxmlformats.org/officeDocument/2006/relationships/worksheet" Target="/xl/worksheets/sheet4.xml" Id="R82fc9a2768264658" /><Relationship Type="http://schemas.openxmlformats.org/officeDocument/2006/relationships/worksheet" Target="/xl/worksheets/sheet5.xml" Id="Rb05764fa2f7d4827" /><Relationship Type="http://schemas.openxmlformats.org/officeDocument/2006/relationships/worksheet" Target="/xl/worksheets/sheet6.xml" Id="R1864496fdea94048" /><Relationship Type="http://schemas.openxmlformats.org/officeDocument/2006/relationships/worksheet" Target="/xl/worksheets/sheet7.xml" Id="R53ee03a8d7cc4ec1" /><Relationship Type="http://schemas.openxmlformats.org/officeDocument/2006/relationships/worksheet" Target="/xl/worksheets/sheet8.xml" Id="R3a67b42c722e4e43" /><Relationship Type="http://schemas.microsoft.com/office/2017/10/relationships/person" Target="/xl/persons/person.xml" Id="Ra64cab1056554c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54ec20409c4281" /><Relationship Type="http://schemas.openxmlformats.org/officeDocument/2006/relationships/chart" Target="/xl/drawings/charts/chart2.xml" Id="R13bdb8288c7a4a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Monthly purchased energy by input (kWh)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Ввод-Т1</c:v>
          </c:tx>
          <c:marker>
            <c:symbol val="none"/>
          </c:marker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Ввод-Т2</c:v>
          </c:tx>
          <c:marker>
            <c:symbol val="none"/>
          </c:marker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'Dashboard'!$C$28:$C$39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Total</c:v>
          </c:tx>
          <c:marker>
            <c:symbol val="none"/>
          </c:marker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'Dashboard'!$D$28:$D$39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Largest modeled loads (kWh/year)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Annual energy (kWh)</c:v>
          </c:tx>
          <c:cat>
            <c:strRef>
              <c:f>'Dashboard'!$F$28:$F$33</c:f>
              <c:strCache>
                <c:ptCount val="0"/>
              </c:strCache>
            </c:strRef>
          </c:cat>
          <c:val>
            <c:numRef>
              <c:f>'Dashboard'!$G$28:$G$33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54ec20409c428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bdb8288c7a4a2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579EC7DC-07F2-4859-A36A-158A5F7EA42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" dT="2026-07-20T08:04:29.662" personId="{579EC7DC-07F2-4859-A36A-158A5F7EA428}" id="{6B7F9486-264F-B519-4430-5B91B5C3353A}">
    <xltc:text>Source: https://energopotok.kz/?p=3528</xltc:text>
  </xltc:threadedComment>
  <xltc:threadedComment ref="I5" dT="2026-07-20T08:04:29.662" personId="{579EC7DC-07F2-4859-A36A-158A5F7EA428}" id="{B5D2BF07-A3A0-923B-9A74-3FCF2546E704}">
    <xltc:text>Source: https://energopotok.kz/?p=3528</xltc:text>
  </xltc:threadedComment>
  <xltc:threadedComment ref="E6" dT="2026-07-20T08:04:29.662" personId="{579EC7DC-07F2-4859-A36A-158A5F7EA428}" id="{3CC495E5-E727-2656-21A3-ED8B654E3C43}">
    <xltc:text>Source: https://energopotok.kz/wp-content/uploads/2025/07/%D0%98%D0%BD%D1%84%D0%BE%D1%80%D0%BC%D0%B0%D1%86%D0%B8%D1%8F-%D0%B4%D0%BB%D1%8F-%D1%81%D0%B0%D0%B9%D1%82%D0%B0-%D0%9E%D0%96%D0%A2-%D0%BF%D0%BE-%D1%81%D0%BD%D0%B0%D0%B1%D0%B6%D0%B5%D0%BD%D0%B8%D1%8E-%D1%80%D1%83%D1%81.pdf</xltc:text>
  </xltc:threadedComment>
  <xltc:threadedComment ref="I6" dT="2026-07-20T08:04:29.662" personId="{579EC7DC-07F2-4859-A36A-158A5F7EA428}" id="{0F904CCE-9745-B00E-6822-70C0DF796217}">
    <xltc:text>Source: https://energopotok.kz/wp-content/uploads/2025/07/%D0%98%D0%BD%D1%84%D0%BE%D1%80%D0%BC%D0%B0%D1%86%D0%B8%D1%8F-%D0%B4%D0%BB%D1%8F-%D1%81%D0%B0%D0%B9%D1%82%D0%B0-%D0%9E%D0%96%D0%A2-%D0%BF%D0%BE-%D1%81%D0%BD%D0%B0%D0%B1%D0%B6%D0%B5%D0%BD%D0%B8%D1%8E-%D1%80%D1%83%D1%81.pdf</xltc:text>
  </xltc:threadedComment>
  <xltc:threadedComment ref="E7" dT="2026-07-20T08:04:29.662" personId="{579EC7DC-07F2-4859-A36A-158A5F7EA428}" id="{3244382E-2168-9314-9A46-4A8356AA76C0}">
    <xltc:text>Source: https://energopotok.kz/wp-content/uploads/2025/10/%D0%98%D0%BD%D1%84%D0%BE%D1%80%D0%BC%D0%B0%D1%86%D0%B8%D1%8F-%D0%B4%D0%BB%D1%8F-%D1%81%D0%B0%D0%B9%D1%82%D0%B0-%D0%9E%D0%96%D0%A2-%D0%BF%D0%BE-%D1%81%D0%BD%D0%B0%D0%B1%D0%B6%D0%B5%D0%BD%D0%B8%D1%8E-09.10.2025.pdf</xltc:text>
  </xltc:threadedComment>
  <xltc:threadedComment ref="I7" dT="2026-07-20T08:04:29.662" personId="{579EC7DC-07F2-4859-A36A-158A5F7EA428}" id="{E6927231-BC3F-E670-7B7C-AA763C5A5500}">
    <xltc:text>Source: https://energopotok.kz/wp-content/uploads/2025/10/%D0%98%D0%BD%D1%84%D0%BE%D1%80%D0%BC%D0%B0%D1%86%D0%B8%D1%8F-%D0%B4%D0%BB%D1%8F-%D1%81%D0%B0%D0%B9%D1%82%D0%B0-%D0%9E%D0%96%D0%A2-%D0%BF%D0%BE-%D1%81%D0%BD%D0%B0%D0%B1%D0%B6%D0%B5%D0%BD%D0%B8%D1%8E-09.10.2025.pdf</xltc:text>
  </xltc:threadedComment>
  <xltc:threadedComment ref="E8" dT="2026-07-20T08:04:29.662" personId="{579EC7DC-07F2-4859-A36A-158A5F7EA428}" id="{878B3E2C-C467-5444-8C12-9BBD9C5B4F2D}">
    <xltc:text>Source: https://energopotok.kz/wp-content/uploads/2025/10/%D0%98%D0%BD%D1%84%D0%BE%D1%80%D0%BC%D0%B0%D1%86%D0%B8%D1%8F-%D0%B4%D0%BB%D1%8F-%D1%81%D0%B0%D0%B9%D1%82%D0%B0-%D0%9E%D0%96%D0%A2-%D0%BF%D0%BE-%D1%81%D0%BD%D0%B0%D0%B1%D0%B6%D0%B5%D0%BD%D0%B8%D1%8E-09.10.2025.pdf | https://www.gov.kz/memleket/entities/minfin/press/news/details/1119650?lang=ru</xltc:text>
  </xltc:threadedComment>
  <xltc:threadedComment ref="I8" dT="2026-07-20T08:04:29.662" personId="{579EC7DC-07F2-4859-A36A-158A5F7EA428}" id="{98A39F21-C26A-9659-B8E7-08C34A59983B}">
    <xltc:text>Source: https://energopotok.kz/wp-content/uploads/2025/10/%D0%98%D0%BD%D1%84%D0%BE%D1%80%D0%BC%D0%B0%D1%86%D0%B8%D1%8F-%D0%B4%D0%BB%D1%8F-%D1%81%D0%B0%D0%B9%D1%82%D0%B0-%D0%9E%D0%96%D0%A2-%D0%BF%D0%BE-%D1%81%D0%BD%D0%B0%D0%B1%D0%B6%D0%B5%D0%BD%D0%B8%D1%8E-09.10.2025.pdf | https://www.gov.kz/memleket/entities/minfin/press/news/details/1119650?lang=ru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7ce08c5bed4d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e77b72f84be84a53" /><Relationship Type="http://schemas.openxmlformats.org/officeDocument/2006/relationships/vmlDrawing" Target="/xl/drawings/vmldrawing.vml" Id="R6637f289bcc840a0" /><Relationship Type="http://schemas.microsoft.com/office/2017/10/relationships/threadedComment" Target="/xl/threadedcomments/threadedcomment.xml" Id="R37150a49336246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Quat — campus energy monitoring annual review</x:v>
      </x:c>
      <x:c r="B1" s="4" t="str">
        <x:v>Quat — campus energy monitoring annual review</x:v>
      </x:c>
      <x:c r="C1" s="4" t="str">
        <x:v>Quat — campus energy monitoring annual review</x:v>
      </x:c>
      <x:c r="D1" s="4" t="str">
        <x:v>Quat — campus energy monitoring annual review</x:v>
      </x:c>
      <x:c r="E1" s="4" t="str">
        <x:v>Quat — campus energy monitoring annual review</x:v>
      </x:c>
      <x:c r="F1" s="4" t="str">
        <x:v>Quat — campus energy monitoring annual review</x:v>
      </x:c>
      <x:c r="G1" s="4" t="str">
        <x:v>Quat — campus energy monitoring annual review</x:v>
      </x:c>
      <x:c r="H1" s="4" t="str">
        <x:v>Quat — campus energy monitoring annual review</x:v>
      </x:c>
    </x:row>
    <x:row r="2">
      <x:c r="A2" s="7" t="str">
        <x:v>Period 2025-07-01 to 2026-07-01 | Turkestan | Consumer group 2 (provisional) | Version 2026-07-20</x:v>
      </x:c>
      <x:c r="B2" s="7"/>
      <x:c r="C2" s="7"/>
      <x:c r="D2" s="7"/>
      <x:c r="E2" s="7"/>
      <x:c r="F2" s="7"/>
      <x:c r="G2" s="7"/>
      <x:c r="H2" s="7"/>
    </x:row>
    <x:row r="4">
      <x:c r="A4" s="73" t="str">
        <x:v>Purchased energy</x:v>
      </x:c>
      <x:c r="B4" s="73" t="str">
        <x:v>Purchased energy</x:v>
      </x:c>
      <x:c r="C4" s="73" t="str">
        <x:v>Estimated gross cost</x:v>
      </x:c>
      <x:c r="D4" s="73" t="str">
        <x:v>Estimated gross cost</x:v>
      </x:c>
      <x:c r="E4" s="73" t="str">
        <x:v>Candidate events</x:v>
      </x:c>
      <x:c r="F4" s="73" t="str">
        <x:v>Candidate events</x:v>
      </x:c>
      <x:c r="G4" s="73" t="str">
        <x:v>Candidate value</x:v>
      </x:c>
      <x:c r="H4" s="73" t="str">
        <x:v>Candidate value</x:v>
      </x:c>
    </x:row>
    <x:row r="5">
      <x:c r="A5" s="87" t="n">
        <x:f>'Monthly Inputs'!D17</x:f>
        <x:v>36847136</x:v>
      </x:c>
      <x:c r="B5" s="88"/>
      <x:c r="C5" s="91" t="n">
        <x:f>'Monthly Inputs'!E17</x:f>
        <x:v>1679943445.5528002</x:v>
      </x:c>
      <x:c r="D5" s="92"/>
      <x:c r="E5" s="95" t="n">
        <x:f>'Candidate Events'!E57</x:f>
        <x:v>52</x:v>
      </x:c>
      <x:c r="F5" s="96"/>
      <x:c r="G5" s="91" t="n">
        <x:f>'Candidate Events'!H57</x:f>
        <x:v>3405324.1380367544</x:v>
      </x:c>
      <x:c r="H5" s="92"/>
    </x:row>
    <x:row r="6">
      <x:c r="A6" s="89"/>
      <x:c r="B6" s="90"/>
      <x:c r="C6" s="93"/>
      <x:c r="D6" s="94"/>
      <x:c r="E6" s="97"/>
      <x:c r="F6" s="98"/>
      <x:c r="G6" s="93"/>
      <x:c r="H6" s="94"/>
    </x:row>
    <x:row r="8">
      <x:c r="A8" s="39" t="str">
        <x:v>Candidate value is an investigation estimate for the final 8 weeks — not confirmed savings. Confirm causes with operations staff before claiming benefits.</x:v>
      </x:c>
      <x:c r="B8" s="39"/>
      <x:c r="C8" s="39"/>
      <x:c r="D8" s="39"/>
      <x:c r="E8" s="39"/>
      <x:c r="F8" s="39"/>
      <x:c r="G8" s="39"/>
      <x:c r="H8" s="39"/>
    </x:row>
    <x:row r="27" ht="34" customHeight="1">
      <x:c r="A27" s="29" t="str">
        <x:v>Month</x:v>
      </x:c>
      <x:c r="B27" s="30" t="str">
        <x:v>Ввод-Т1</x:v>
      </x:c>
      <x:c r="C27" s="30" t="str">
        <x:v>Ввод-Т2</x:v>
      </x:c>
      <x:c r="D27" s="31" t="str">
        <x:v>Total</x:v>
      </x:c>
      <x:c r="F27" s="29" t="str">
        <x:v>Load</x:v>
      </x:c>
      <x:c r="G27" s="31" t="str">
        <x:v>Annual energy (kWh)</x:v>
      </x:c>
    </x:row>
    <x:row r="28">
      <x:c r="A28" s="32" t="str">
        <x:f>'Monthly Inputs'!A5</x:f>
        <x:v>2025-07</x:v>
      </x:c>
      <x:c r="B28" s="25" t="n">
        <x:f>'Monthly Inputs'!B5</x:f>
        <x:v>2366930</x:v>
      </x:c>
      <x:c r="C28" s="25" t="n">
        <x:f>'Monthly Inputs'!C5</x:f>
        <x:v>1409620</x:v>
      </x:c>
      <x:c r="D28" s="99" t="n">
        <x:f>'Monthly Inputs'!D5</x:f>
        <x:v>3776550</x:v>
      </x:c>
      <x:c r="F28" s="32" t="str">
        <x:f>'Load Ranking'!C5</x:f>
        <x:v>Мкр.Отрар-1</x:v>
      </x:c>
      <x:c r="G28" s="99" t="n">
        <x:f>'Load Ranking'!D5</x:f>
        <x:v>8145070</x:v>
      </x:c>
    </x:row>
    <x:row r="29">
      <x:c r="A29" s="32" t="str">
        <x:f>'Monthly Inputs'!A6</x:f>
        <x:v>2025-08</x:v>
      </x:c>
      <x:c r="B29" s="25" t="n">
        <x:f>'Monthly Inputs'!B6</x:f>
        <x:v>1733850</x:v>
      </x:c>
      <x:c r="C29" s="25" t="n">
        <x:f>'Monthly Inputs'!C6</x:f>
        <x:v>1567305</x:v>
      </x:c>
      <x:c r="D29" s="99" t="n">
        <x:f>'Monthly Inputs'!D6</x:f>
        <x:v>3301155</x:v>
      </x:c>
      <x:c r="F29" s="32" t="str">
        <x:f>'Load Ranking'!C6</x:f>
        <x:v>Население Л-4А</x:v>
      </x:c>
      <x:c r="G29" s="99" t="n">
        <x:f>'Load Ranking'!D6</x:f>
        <x:v>7104032</x:v>
      </x:c>
    </x:row>
    <x:row r="30">
      <x:c r="A30" s="32" t="str">
        <x:f>'Monthly Inputs'!A7</x:f>
        <x:v>2025-09</x:v>
      </x:c>
      <x:c r="B30" s="25" t="n">
        <x:f>'Monthly Inputs'!B7</x:f>
        <x:v>2013564</x:v>
      </x:c>
      <x:c r="C30" s="25" t="n">
        <x:f>'Monthly Inputs'!C7</x:f>
        <x:v>590566</x:v>
      </x:c>
      <x:c r="D30" s="99" t="n">
        <x:f>'Monthly Inputs'!D7</x:f>
        <x:v>2604130</x:v>
      </x:c>
      <x:c r="F30" s="32" t="str">
        <x:f>'Load Ranking'!C7</x:f>
        <x:v>Rixos-2</x:v>
      </x:c>
      <x:c r="G30" s="99" t="n">
        <x:f>'Load Ranking'!D7</x:f>
        <x:v>5692508</x:v>
      </x:c>
    </x:row>
    <x:row r="31">
      <x:c r="A31" s="32" t="str">
        <x:f>'Monthly Inputs'!A8</x:f>
        <x:v>2025-10</x:v>
      </x:c>
      <x:c r="B31" s="25" t="n">
        <x:f>'Monthly Inputs'!B8</x:f>
        <x:v>2586099</x:v>
      </x:c>
      <x:c r="C31" s="25" t="n">
        <x:f>'Monthly Inputs'!C8</x:f>
        <x:v>0</x:v>
      </x:c>
      <x:c r="D31" s="99" t="n">
        <x:f>'Monthly Inputs'!D8</x:f>
        <x:v>2586099</x:v>
      </x:c>
      <x:c r="F31" s="32" t="str">
        <x:f>'Load Ranking'!C8</x:f>
        <x:v>Rixos-1</x:v>
      </x:c>
      <x:c r="G31" s="99" t="n">
        <x:f>'Load Ranking'!D8</x:f>
        <x:v>4434254</x:v>
      </x:c>
    </x:row>
    <x:row r="32">
      <x:c r="A32" s="32" t="str">
        <x:f>'Monthly Inputs'!A9</x:f>
        <x:v>2025-11</x:v>
      </x:c>
      <x:c r="B32" s="25" t="n">
        <x:f>'Monthly Inputs'!B9</x:f>
        <x:v>2984244</x:v>
      </x:c>
      <x:c r="C32" s="25" t="n">
        <x:f>'Monthly Inputs'!C9</x:f>
        <x:v>0</x:v>
      </x:c>
      <x:c r="D32" s="99" t="n">
        <x:f>'Monthly Inputs'!D9</x:f>
        <x:v>2984244</x:v>
      </x:c>
      <x:c r="F32" s="32" t="str">
        <x:f>'Load Ranking'!C9</x:f>
        <x:v>Ректорат</x:v>
      </x:c>
      <x:c r="G32" s="99" t="n">
        <x:f>'Load Ranking'!D9</x:f>
        <x:v>3809242</x:v>
      </x:c>
    </x:row>
    <x:row r="33">
      <x:c r="A33" s="32" t="str">
        <x:f>'Monthly Inputs'!A10</x:f>
        <x:v>2025-12</x:v>
      </x:c>
      <x:c r="B33" s="25" t="n">
        <x:f>'Monthly Inputs'!B10</x:f>
        <x:v>3421049</x:v>
      </x:c>
      <x:c r="C33" s="25" t="n">
        <x:f>'Monthly Inputs'!C10</x:f>
        <x:v>0</x:v>
      </x:c>
      <x:c r="D33" s="99" t="n">
        <x:f>'Monthly Inputs'!D10</x:f>
        <x:v>3421049</x:v>
      </x:c>
      <x:c r="F33" s="50" t="str">
        <x:f>'Load Ranking'!C10</x:f>
        <x:v>Мед.корпус-2</x:v>
      </x:c>
      <x:c r="G33" s="101" t="n">
        <x:f>'Load Ranking'!D10</x:f>
        <x:v>3373795</x:v>
      </x:c>
    </x:row>
    <x:row r="34">
      <x:c r="A34" s="32" t="str">
        <x:f>'Monthly Inputs'!A11</x:f>
        <x:v>2026-01</x:v>
      </x:c>
      <x:c r="B34" s="25" t="n">
        <x:f>'Monthly Inputs'!B11</x:f>
        <x:v>3597993</x:v>
      </x:c>
      <x:c r="C34" s="25" t="n">
        <x:f>'Monthly Inputs'!C11</x:f>
        <x:v>5751</x:v>
      </x:c>
      <x:c r="D34" s="99" t="n">
        <x:f>'Monthly Inputs'!D11</x:f>
        <x:v>3603744</x:v>
      </x:c>
    </x:row>
    <x:row r="35">
      <x:c r="A35" s="32" t="str">
        <x:f>'Monthly Inputs'!A12</x:f>
        <x:v>2026-02</x:v>
      </x:c>
      <x:c r="B35" s="25" t="n">
        <x:f>'Monthly Inputs'!B12</x:f>
        <x:v>0</x:v>
      </x:c>
      <x:c r="C35" s="25" t="n">
        <x:f>'Monthly Inputs'!C12</x:f>
        <x:v>2835965</x:v>
      </x:c>
      <x:c r="D35" s="99" t="n">
        <x:f>'Monthly Inputs'!D12</x:f>
        <x:v>2835965</x:v>
      </x:c>
    </x:row>
    <x:row r="36">
      <x:c r="A36" s="32" t="str">
        <x:f>'Monthly Inputs'!A13</x:f>
        <x:v>2026-03</x:v>
      </x:c>
      <x:c r="B36" s="25" t="n">
        <x:f>'Monthly Inputs'!B13</x:f>
        <x:v>0</x:v>
      </x:c>
      <x:c r="C36" s="25" t="n">
        <x:f>'Monthly Inputs'!C13</x:f>
        <x:v>2846219</x:v>
      </x:c>
      <x:c r="D36" s="99" t="n">
        <x:f>'Monthly Inputs'!D13</x:f>
        <x:v>2846219</x:v>
      </x:c>
    </x:row>
    <x:row r="37">
      <x:c r="A37" s="32" t="str">
        <x:f>'Monthly Inputs'!A14</x:f>
        <x:v>2026-04</x:v>
      </x:c>
      <x:c r="B37" s="25" t="n">
        <x:f>'Monthly Inputs'!B14</x:f>
        <x:v>717728</x:v>
      </x:c>
      <x:c r="C37" s="25" t="n">
        <x:f>'Monthly Inputs'!C14</x:f>
        <x:v>1872347</x:v>
      </x:c>
      <x:c r="D37" s="99" t="n">
        <x:f>'Monthly Inputs'!D14</x:f>
        <x:v>2590075</x:v>
      </x:c>
    </x:row>
    <x:row r="38">
      <x:c r="A38" s="32" t="str">
        <x:f>'Monthly Inputs'!A15</x:f>
        <x:v>2026-05</x:v>
      </x:c>
      <x:c r="B38" s="25" t="n">
        <x:f>'Monthly Inputs'!B15</x:f>
        <x:v>1555935</x:v>
      </x:c>
      <x:c r="C38" s="25" t="n">
        <x:f>'Monthly Inputs'!C15</x:f>
        <x:v>1169127</x:v>
      </x:c>
      <x:c r="D38" s="99" t="n">
        <x:f>'Monthly Inputs'!D15</x:f>
        <x:v>2725062</x:v>
      </x:c>
    </x:row>
    <x:row r="39">
      <x:c r="A39" s="50" t="str">
        <x:f>'Monthly Inputs'!A16</x:f>
        <x:v>2026-06</x:v>
      </x:c>
      <x:c r="B39" s="100" t="n">
        <x:f>'Monthly Inputs'!B16</x:f>
        <x:v>1732217</x:v>
      </x:c>
      <x:c r="C39" s="100" t="n">
        <x:f>'Monthly Inputs'!C16</x:f>
        <x:v>1840627</x:v>
      </x:c>
      <x:c r="D39" s="101" t="n">
        <x:f>'Monthly Inputs'!D16</x:f>
        <x:v>3572844</x:v>
      </x:c>
    </x:row>
    <x:row r="42">
      <x:c r="A42" s="71" t="str">
        <x:v>Priority findings</x:v>
      </x:c>
      <x:c r="B42" s="71"/>
      <x:c r="C42" s="71"/>
      <x:c r="D42" s="71"/>
      <x:c r="E42" s="71"/>
      <x:c r="F42" s="71"/>
      <x:c r="G42" s="71"/>
      <x:c r="H42" s="71"/>
    </x:row>
    <x:row r="43" ht="40" customHeight="1">
      <x:c r="A43" s="121" t="str">
        <x:v>Largest candidate cluster: Мед.корпус-2 — 22 events, 31,072 kWh, about 1,479,949 KZT for review.</x:v>
      </x:c>
      <x:c r="B43" s="122"/>
      <x:c r="C43" s="122"/>
      <x:c r="D43" s="122"/>
      <x:c r="E43" s="122"/>
      <x:c r="F43" s="122"/>
      <x:c r="G43" s="122"/>
      <x:c r="H43" s="123"/>
    </x:row>
    <x:row r="44" ht="40" customHeight="1">
      <x:c r="A44" s="124" t="str">
        <x:v>Power-factor check: Мкр. Отрар-2 (0.63), Бот.сад (0.87). Verify metering direction and compensation before assigning financial impact.</x:v>
      </x:c>
      <x:c r="B44" s="125"/>
      <x:c r="C44" s="125"/>
      <x:c r="D44" s="125"/>
      <x:c r="E44" s="125"/>
      <x:c r="F44" s="125"/>
      <x:c r="G44" s="125"/>
      <x:c r="H44" s="126"/>
    </x:row>
    <x:row r="45" ht="40" customHeight="1">
      <x:c r="A45" s="124" t="str">
        <x:v>Topology check: zero-energy months alternate between the two inputs while total campus energy continues. Obtain the single-line diagram and normal bus-tie position before interpreting T1/T2 balance or outgoing-minus-input difference.</x:v>
      </x:c>
      <x:c r="B45" s="125"/>
      <x:c r="C45" s="125"/>
      <x:c r="D45" s="125"/>
      <x:c r="E45" s="125"/>
      <x:c r="F45" s="125"/>
      <x:c r="G45" s="125"/>
      <x:c r="H45" s="126"/>
    </x:row>
    <x:row r="46" ht="40" customHeight="1">
      <x:c r="A46" s="127"/>
      <x:c r="B46" s="128"/>
      <x:c r="C46" s="128"/>
      <x:c r="D46" s="128"/>
      <x:c r="E46" s="128"/>
      <x:c r="F46" s="128"/>
      <x:c r="G46" s="128"/>
      <x:c r="H46" s="129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42:H42"/>
    <x:mergeCell ref="A43:H43"/>
    <x:mergeCell ref="A44:H44"/>
    <x:mergeCell ref="A45:H46"/>
  </x:mergeCells>
  <x:pageMargins left="0.7" right="0.7" top="0.75" bottom="0.75" header="0.3" footer="0.3"/>
  <x:drawing xmlns:r="http://schemas.openxmlformats.org/officeDocument/2006/relationships" r:id="R7c7ce08c5bed4d1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2" customHeight="1">
      <x:c r="A1" s="4" t="str">
        <x:v>Monthly purchased electricity and gross cost</x:v>
      </x:c>
      <x:c r="B1" s="4" t="str">
        <x:v>Monthly purchased electricity and gross cost</x:v>
      </x:c>
      <x:c r="C1" s="4" t="str">
        <x:v>Monthly purchased electricity and gross cost</x:v>
      </x:c>
      <x:c r="D1" s="4" t="str">
        <x:v>Monthly purchased electricity and gross cost</x:v>
      </x:c>
      <x:c r="E1" s="4" t="str">
        <x:v>Monthly purchased electricity and gross cost</x:v>
      </x:c>
      <x:c r="F1" s="4" t="str">
        <x:v>Monthly purchased electricity and gross cost</x:v>
      </x:c>
    </x:row>
    <x:row r="2">
      <x:c r="A2" s="7" t="str">
        <x:v>Source: normalized hourly ASKUE data from Ввод-Т1 and Ввод-Т2. Total and cost columns are formulas.</x:v>
      </x:c>
      <x:c r="B2" s="7"/>
      <x:c r="C2" s="7"/>
      <x:c r="D2" s="7"/>
      <x:c r="E2" s="7"/>
      <x:c r="F2" s="7"/>
    </x:row>
    <x:row r="4" ht="34" customHeight="1">
      <x:c r="A4" s="29" t="str">
        <x:v>Month</x:v>
      </x:c>
      <x:c r="B4" s="30" t="str">
        <x:v>Ввод-Т1 (kWh)</x:v>
      </x:c>
      <x:c r="C4" s="30" t="str">
        <x:v>Ввод-Т2 (kWh)</x:v>
      </x:c>
      <x:c r="D4" s="30" t="str">
        <x:v>Total input (kWh)</x:v>
      </x:c>
      <x:c r="E4" s="30" t="str">
        <x:v>Gross cost (KZT)</x:v>
      </x:c>
      <x:c r="F4" s="31" t="str">
        <x:v>Tariff (KZT/kWh)</x:v>
      </x:c>
    </x:row>
    <x:row r="5">
      <x:c r="A5" s="32" t="str">
        <x:v>2025-07</x:v>
      </x:c>
      <x:c r="B5" s="25" t="n">
        <x:v>2366930</x:v>
      </x:c>
      <x:c r="C5" s="25" t="n">
        <x:v>1409620</x:v>
      </x:c>
      <x:c r="D5" s="25" t="n">
        <x:f>SUM(B5:C5)</x:f>
        <x:v>3776550</x:v>
      </x:c>
      <x:c r="E5" s="25" t="n">
        <x:f>D5*F5</x:f>
        <x:v>139732350</x:v>
      </x:c>
      <x:c r="F5" s="33" t="n">
        <x:v>37</x:v>
      </x:c>
    </x:row>
    <x:row r="6">
      <x:c r="A6" s="32" t="str">
        <x:v>2025-08</x:v>
      </x:c>
      <x:c r="B6" s="25" t="n">
        <x:v>1733850</x:v>
      </x:c>
      <x:c r="C6" s="25" t="n">
        <x:v>1567305</x:v>
      </x:c>
      <x:c r="D6" s="25" t="n">
        <x:f>SUM(B6:C6)</x:f>
        <x:v>3301155</x:v>
      </x:c>
      <x:c r="E6" s="25" t="n">
        <x:f>D6*F6</x:f>
        <x:v>147743852.256</x:v>
      </x:c>
      <x:c r="F6" s="33" t="n">
        <x:v>44.7552</x:v>
      </x:c>
    </x:row>
    <x:row r="7">
      <x:c r="A7" s="32" t="str">
        <x:v>2025-09</x:v>
      </x:c>
      <x:c r="B7" s="25" t="n">
        <x:v>2013564</x:v>
      </x:c>
      <x:c r="C7" s="25" t="n">
        <x:v>590566</x:v>
      </x:c>
      <x:c r="D7" s="25" t="n">
        <x:f>SUM(B7:C7)</x:f>
        <x:v>2604130</x:v>
      </x:c>
      <x:c r="E7" s="25" t="n">
        <x:f>D7*F7</x:f>
        <x:v>116548358.97600001</x:v>
      </x:c>
      <x:c r="F7" s="33" t="n">
        <x:v>44.7552</x:v>
      </x:c>
    </x:row>
    <x:row r="8">
      <x:c r="A8" s="32" t="str">
        <x:v>2025-10</x:v>
      </x:c>
      <x:c r="B8" s="25" t="n">
        <x:v>2586099</x:v>
      </x:c>
      <x:c r="C8" s="25" t="n">
        <x:v>0</x:v>
      </x:c>
      <x:c r="D8" s="25" t="n">
        <x:f>SUM(B8:C8)</x:f>
        <x:v>2586099</x:v>
      </x:c>
      <x:c r="E8" s="25" t="n">
        <x:f>D8*F8</x:f>
        <x:v>115741377.9648</x:v>
      </x:c>
      <x:c r="F8" s="33" t="n">
        <x:v>44.7552</x:v>
      </x:c>
    </x:row>
    <x:row r="9">
      <x:c r="A9" s="32" t="str">
        <x:v>2025-11</x:v>
      </x:c>
      <x:c r="B9" s="25" t="n">
        <x:v>2984244</x:v>
      </x:c>
      <x:c r="C9" s="25" t="n">
        <x:v>0</x:v>
      </x:c>
      <x:c r="D9" s="25" t="n">
        <x:f>SUM(B9:C9)</x:f>
        <x:v>2984244</x:v>
      </x:c>
      <x:c r="E9" s="25" t="n">
        <x:f>D9*F9</x:f>
        <x:v>137237025.6768</x:v>
      </x:c>
      <x:c r="F9" s="33" t="n">
        <x:v>45.9872</x:v>
      </x:c>
    </x:row>
    <x:row r="10">
      <x:c r="A10" s="32" t="str">
        <x:v>2025-12</x:v>
      </x:c>
      <x:c r="B10" s="25" t="n">
        <x:v>3421049</x:v>
      </x:c>
      <x:c r="C10" s="25" t="n">
        <x:v>0</x:v>
      </x:c>
      <x:c r="D10" s="25" t="n">
        <x:f>SUM(B10:C10)</x:f>
        <x:v>3421049</x:v>
      </x:c>
      <x:c r="E10" s="25" t="n">
        <x:f>D10*F10</x:f>
        <x:v>157324464.5728</x:v>
      </x:c>
      <x:c r="F10" s="33" t="n">
        <x:v>45.9872</x:v>
      </x:c>
    </x:row>
    <x:row r="11">
      <x:c r="A11" s="32" t="str">
        <x:v>2026-01</x:v>
      </x:c>
      <x:c r="B11" s="25" t="n">
        <x:v>3597993</x:v>
      </x:c>
      <x:c r="C11" s="25" t="n">
        <x:v>5751</x:v>
      </x:c>
      <x:c r="D11" s="25" t="n">
        <x:f>SUM(B11:C11)</x:f>
        <x:v>3603744</x:v>
      </x:c>
      <x:c r="E11" s="25" t="n">
        <x:f>D11*F11</x:f>
        <x:v>171644885.2224</x:v>
      </x:c>
      <x:c r="F11" s="33" t="n">
        <x:v>47.6296</x:v>
      </x:c>
    </x:row>
    <x:row r="12">
      <x:c r="A12" s="32" t="str">
        <x:v>2026-02</x:v>
      </x:c>
      <x:c r="B12" s="25" t="n">
        <x:v>0</x:v>
      </x:c>
      <x:c r="C12" s="25" t="n">
        <x:v>2835965</x:v>
      </x:c>
      <x:c r="D12" s="25" t="n">
        <x:f>SUM(B12:C12)</x:f>
        <x:v>2835965</x:v>
      </x:c>
      <x:c r="E12" s="25" t="n">
        <x:f>D12*F12</x:f>
        <x:v>135075878.564</x:v>
      </x:c>
      <x:c r="F12" s="33" t="n">
        <x:v>47.6296</x:v>
      </x:c>
    </x:row>
    <x:row r="13">
      <x:c r="A13" s="32" t="str">
        <x:v>2026-03</x:v>
      </x:c>
      <x:c r="B13" s="25" t="n">
        <x:v>0</x:v>
      </x:c>
      <x:c r="C13" s="25" t="n">
        <x:v>2846219</x:v>
      </x:c>
      <x:c r="D13" s="25" t="n">
        <x:f>SUM(B13:C13)</x:f>
        <x:v>2846219</x:v>
      </x:c>
      <x:c r="E13" s="25" t="n">
        <x:f>D13*F13</x:f>
        <x:v>135564272.4824</x:v>
      </x:c>
      <x:c r="F13" s="33" t="n">
        <x:v>47.6296</x:v>
      </x:c>
    </x:row>
    <x:row r="14">
      <x:c r="A14" s="32" t="str">
        <x:v>2026-04</x:v>
      </x:c>
      <x:c r="B14" s="25" t="n">
        <x:v>717728</x:v>
      </x:c>
      <x:c r="C14" s="25" t="n">
        <x:v>1872347</x:v>
      </x:c>
      <x:c r="D14" s="25" t="n">
        <x:f>SUM(B14:C14)</x:f>
        <x:v>2590075</x:v>
      </x:c>
      <x:c r="E14" s="25" t="n">
        <x:f>D14*F14</x:f>
        <x:v>123364236.22000001</x:v>
      </x:c>
      <x:c r="F14" s="33" t="n">
        <x:v>47.6296</x:v>
      </x:c>
    </x:row>
    <x:row r="15">
      <x:c r="A15" s="32" t="str">
        <x:v>2026-05</x:v>
      </x:c>
      <x:c r="B15" s="25" t="n">
        <x:v>1555935</x:v>
      </x:c>
      <x:c r="C15" s="25" t="n">
        <x:v>1169127</x:v>
      </x:c>
      <x:c r="D15" s="25" t="n">
        <x:f>SUM(B15:C15)</x:f>
        <x:v>2725062</x:v>
      </x:c>
      <x:c r="E15" s="25" t="n">
        <x:f>D15*F15</x:f>
        <x:v>129793613.03520001</x:v>
      </x:c>
      <x:c r="F15" s="33" t="n">
        <x:v>47.6296</x:v>
      </x:c>
    </x:row>
    <x:row r="16">
      <x:c r="A16" s="32" t="str">
        <x:v>2026-06</x:v>
      </x:c>
      <x:c r="B16" s="25" t="n">
        <x:v>1732217</x:v>
      </x:c>
      <x:c r="C16" s="25" t="n">
        <x:v>1840627</x:v>
      </x:c>
      <x:c r="D16" s="25" t="n">
        <x:f>SUM(B16:C16)</x:f>
        <x:v>3572844</x:v>
      </x:c>
      <x:c r="E16" s="25" t="n">
        <x:f>D16*F16</x:f>
        <x:v>170173130.58240002</x:v>
      </x:c>
      <x:c r="F16" s="33" t="n">
        <x:v>47.6296</x:v>
      </x:c>
    </x:row>
    <x:row r="17">
      <x:c r="A17" s="34" t="str">
        <x:v>Total / weighted average</x:v>
      </x:c>
      <x:c r="B17" s="35" t="n">
        <x:f>SUM(B5:B16)</x:f>
        <x:v>22709609</x:v>
      </x:c>
      <x:c r="C17" s="35" t="n">
        <x:f>SUM(C5:C16)</x:f>
        <x:v>14137527</x:v>
      </x:c>
      <x:c r="D17" s="35" t="n">
        <x:f>SUM(D5:D16)</x:f>
        <x:v>36847136</x:v>
      </x:c>
      <x:c r="E17" s="35" t="n">
        <x:f>SUM(E5:E16)</x:f>
        <x:v>1679943445.5528002</x:v>
      </x:c>
      <x:c r="F17" s="36" t="n">
        <x:f>E17/D17</x:f>
        <x:v>45.592239395561165</x:v>
      </x:c>
    </x:row>
    <x:row r="19">
      <x:c r="A19" s="40" t="str">
        <x:v>Operational flag: Ввод-Т2 is zero in Oct-Dec 2025, while Ввод-Т1 is zero in Feb-Mar 2026. Campus total remains continuous, so this looks like a bus/feed transfer or switching regime and must be reconciled with the single-line diagram.</x:v>
      </x:c>
      <x:c r="B19" s="40"/>
      <x:c r="C19" s="40"/>
      <x:c r="D19" s="40"/>
      <x:c r="E19" s="40"/>
      <x:c r="F19" s="40"/>
    </x:row>
    <x:row r="20">
      <x:c r="A20" s="40"/>
      <x:c r="B20" s="40"/>
      <x:c r="C20" s="40"/>
      <x:c r="D20" s="40"/>
      <x:c r="E20" s="40"/>
      <x:c r="F20" s="40"/>
    </x:row>
    <x:row r="21">
      <x:c r="A21" s="40"/>
      <x:c r="B21" s="40"/>
      <x:c r="C21" s="40"/>
      <x:c r="D21" s="40"/>
      <x:c r="E21" s="40"/>
      <x:c r="F21" s="40"/>
    </x:row>
  </x:sheetData>
  <x:mergeCells>
    <x:mergeCell ref="A1:F1"/>
    <x:mergeCell ref="A2:F2"/>
    <x:mergeCell ref="A19:F21"/>
  </x:mergeCells>
  <x:conditionalFormatting sqref="B5:C16">
    <x:cfRule type="cellIs" dxfId="0" priority="1" operator="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27" hidden="0" customWidth="1"/>
    <x:col min="4" max="4" width="21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27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customHeight="1">
      <x:c r="A1" s="4" t="str">
        <x:v>Annual load ranking and review priorities</x:v>
      </x:c>
      <x:c r="B1" s="4" t="str">
        <x:v>Annual load ranking and review priorities</x:v>
      </x:c>
      <x:c r="C1" s="4" t="str">
        <x:v>Annual load ranking and review priorities</x:v>
      </x:c>
      <x:c r="D1" s="4" t="str">
        <x:v>Annual load ranking and review priorities</x:v>
      </x:c>
      <x:c r="E1" s="4" t="str">
        <x:v>Annual load ranking and review priorities</x:v>
      </x:c>
      <x:c r="F1" s="4" t="str">
        <x:v>Annual load ranking and review priorities</x:v>
      </x:c>
      <x:c r="G1" s="4" t="str">
        <x:v>Annual load ranking and review priorities</x:v>
      </x:c>
      <x:c r="H1" s="4" t="str">
        <x:v>Annual load ranking and review priorities</x:v>
      </x:c>
      <x:c r="I1" s="4" t="str">
        <x:v>Annual load ranking and review priorities</x:v>
      </x:c>
      <x:c r="J1" s="4" t="str">
        <x:v>Annual load ranking and review priorities</x:v>
      </x:c>
      <x:c r="K1" s="4" t="str">
        <x:v>Annual load ranking and review priorities</x:v>
      </x:c>
      <x:c r="L1" s="4" t="str">
        <x:v>Annual load ranking and review priorities</x:v>
      </x:c>
      <x:c r="M1" s="4" t="str">
        <x:v>Annual load ranking and review priorities</x:v>
      </x:c>
      <x:c r="N1" s="4" t="str">
        <x:v>Annual load ranking and review priorities</x:v>
      </x:c>
    </x:row>
    <x:row r="2">
      <x:c r="A2" s="7" t="str">
        <x:v>Equivalent cost allocates the campus tariff to each outgoing meter for prioritization. It is not an invoice allocation until topology is confirmed.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29" t="str">
        <x:v>Rank</x:v>
      </x:c>
      <x:c r="B4" s="30" t="str">
        <x:v>Cell</x:v>
      </x:c>
      <x:c r="C4" s="30" t="str">
        <x:v>Load</x:v>
      </x:c>
      <x:c r="D4" s="30" t="str">
        <x:v>Annual energy (kWh)</x:v>
      </x:c>
      <x:c r="E4" s="30" t="str">
        <x:v>Equivalent cost (KZT)</x:v>
      </x:c>
      <x:c r="F4" s="30" t="str">
        <x:v>Share</x:v>
      </x:c>
      <x:c r="G4" s="30" t="str">
        <x:v>Off-hours share</x:v>
      </x:c>
      <x:c r="H4" s="30" t="str">
        <x:v>Weighted PF</x:v>
      </x:c>
      <x:c r="I4" s="30" t="str">
        <x:v>Best baseline</x:v>
      </x:c>
      <x:c r="J4" s="30" t="str">
        <x:v>wMAPE</x:v>
      </x:c>
      <x:c r="K4" s="30" t="str">
        <x:v>Events</x:v>
      </x:c>
      <x:c r="L4" s="30" t="str">
        <x:v>Candidate excess (kWh)</x:v>
      </x:c>
      <x:c r="M4" s="30" t="str">
        <x:v>Candidate value (KZT)</x:v>
      </x:c>
      <x:c r="N4" s="31" t="str">
        <x:v>Review priority</x:v>
      </x:c>
    </x:row>
    <x:row r="5">
      <x:c r="A5" s="32" t="n">
        <x:v>1</x:v>
      </x:c>
      <x:c r="B5" s="42" t="str">
        <x:v>1A</x:v>
      </x:c>
      <x:c r="C5" s="42" t="str">
        <x:v>Мкр.Отрар-1</x:v>
      </x:c>
      <x:c r="D5" s="25" t="n">
        <x:v>8145070</x:v>
      </x:c>
      <x:c r="E5" s="25" t="n">
        <x:v>366439043.5256</x:v>
      </x:c>
      <x:c r="F5" s="41" t="n">
        <x:f>D5/$D$14</x:f>
        <x:v>0.21363851860206332</x:v>
      </x:c>
      <x:c r="G5" s="41" t="n">
        <x:v>0.5518195669282154</x:v>
      </x:c>
      <x:c r="H5" s="41" t="n">
        <x:v>0.9899227205369512</x:v>
      </x:c>
      <x:c r="I5" s="42" t="str">
        <x:v>last_week</x:v>
      </x:c>
      <x:c r="J5" s="41" t="n">
        <x:v>0.12112130108542324</x:v>
      </x:c>
      <x:c r="K5" s="42" t="n">
        <x:v>1</x:v>
      </x:c>
      <x:c r="L5" s="25" t="n">
        <x:v>13811</x:v>
      </x:c>
      <x:c r="M5" s="25" t="n">
        <x:v>657812.4056</x:v>
      </x:c>
      <x:c r="N5" s="43" t="str">
        <x:f>IF(OR(M5&gt;=300000,H5&lt;0.85),"HIGH",IF(OR(M5&gt;0,H5&lt;0.90),"MEDIUM","MONITOR"))</x:f>
        <x:v>HIGH</x:v>
      </x:c>
    </x:row>
    <x:row r="6">
      <x:c r="A6" s="32" t="n">
        <x:v>2</x:v>
      </x:c>
      <x:c r="B6" s="42" t="str">
        <x:v>7</x:v>
      </x:c>
      <x:c r="C6" s="42" t="str">
        <x:v>Население Л-4А</x:v>
      </x:c>
      <x:c r="D6" s="25" t="n">
        <x:v>7104032</x:v>
      </x:c>
      <x:c r="E6" s="25" t="n">
        <x:v>323569384.184</x:v>
      </x:c>
      <x:c r="F6" s="41" t="n">
        <x:f>D6/$D$14</x:f>
        <x:v>0.18633294404856596</x:v>
      </x:c>
      <x:c r="G6" s="41" t="n">
        <x:v>0.5464203990072117</x:v>
      </x:c>
      <x:c r="H6" s="41" t="n">
        <x:v>0.9456241735264984</x:v>
      </x:c>
      <x:c r="I6" s="42" t="str">
        <x:v>last_week</x:v>
      </x:c>
      <x:c r="J6" s="41" t="n">
        <x:v>0.10937175824528782</x:v>
      </x:c>
      <x:c r="K6" s="42" t="n">
        <x:v>5</x:v>
      </x:c>
      <x:c r="L6" s="25" t="n">
        <x:v>11409</x:v>
      </x:c>
      <x:c r="M6" s="25" t="n">
        <x:v>543406.1064</x:v>
      </x:c>
      <x:c r="N6" s="43" t="str">
        <x:f>IF(OR(M6&gt;=300000,H6&lt;0.85),"HIGH",IF(OR(M6&gt;0,H6&lt;0.90),"MEDIUM","MONITOR"))</x:f>
        <x:v>HIGH</x:v>
      </x:c>
    </x:row>
    <x:row r="7">
      <x:c r="A7" s="32" t="n">
        <x:v>3</x:v>
      </x:c>
      <x:c r="B7" s="42" t="str">
        <x:v>16</x:v>
      </x:c>
      <x:c r="C7" s="42" t="str">
        <x:v>Rixos-2</x:v>
      </x:c>
      <x:c r="D7" s="25" t="n">
        <x:v>5692508</x:v>
      </x:c>
      <x:c r="E7" s="25" t="n">
        <x:v>260460738.156</x:v>
      </x:c>
      <x:c r="F7" s="41" t="n">
        <x:f>D7/$D$14</x:f>
        <x:v>0.14930982499234435</x:v>
      </x:c>
      <x:c r="G7" s="41" t="n">
        <x:v>0.5428670455974766</x:v>
      </x:c>
      <x:c r="H7" s="41" t="n">
        <x:v>0.9855640176858858</x:v>
      </x:c>
      <x:c r="I7" s="42" t="str">
        <x:v>last_week</x:v>
      </x:c>
      <x:c r="J7" s="41" t="n">
        <x:v>0.12927661264751897</x:v>
      </x:c>
      <x:c r="K7" s="42" t="n">
        <x:v>0</x:v>
      </x:c>
      <x:c r="L7" s="25" t="n">
        <x:v>0</x:v>
      </x:c>
      <x:c r="M7" s="25" t="n">
        <x:v>0</x:v>
      </x:c>
      <x:c r="N7" s="43" t="str">
        <x:f>IF(OR(M7&gt;=300000,H7&lt;0.85),"HIGH",IF(OR(M7&gt;0,H7&lt;0.90),"MEDIUM","MONITOR"))</x:f>
        <x:v>MONITOR</x:v>
      </x:c>
    </x:row>
    <x:row r="8">
      <x:c r="A8" s="32" t="n">
        <x:v>4</x:v>
      </x:c>
      <x:c r="B8" s="42" t="str">
        <x:v>6</x:v>
      </x:c>
      <x:c r="C8" s="42" t="str">
        <x:v>Rixos-1</x:v>
      </x:c>
      <x:c r="D8" s="25" t="n">
        <x:v>4434254</x:v>
      </x:c>
      <x:c r="E8" s="25" t="n">
        <x:v>202761623.536</x:v>
      </x:c>
      <x:c r="F8" s="41" t="n">
        <x:f>D8/$D$14</x:f>
        <x:v>0.11630685257036141</x:v>
      </x:c>
      <x:c r="G8" s="41" t="n">
        <x:v>0.5444584365261891</x:v>
      </x:c>
      <x:c r="H8" s="41" t="n">
        <x:v>0.9832484564237046</x:v>
      </x:c>
      <x:c r="I8" s="42" t="str">
        <x:v>weather_hour_of_week_ridge</x:v>
      </x:c>
      <x:c r="J8" s="41" t="n">
        <x:v>0.15439109026264172</x:v>
      </x:c>
      <x:c r="K8" s="42" t="n">
        <x:v>0</x:v>
      </x:c>
      <x:c r="L8" s="25" t="n">
        <x:v>0</x:v>
      </x:c>
      <x:c r="M8" s="25" t="n">
        <x:v>0</x:v>
      </x:c>
      <x:c r="N8" s="43" t="str">
        <x:f>IF(OR(M8&gt;=300000,H8&lt;0.85),"HIGH",IF(OR(M8&gt;0,H8&lt;0.90),"MEDIUM","MONITOR"))</x:f>
        <x:v>MONITOR</x:v>
      </x:c>
    </x:row>
    <x:row r="9">
      <x:c r="A9" s="32" t="n">
        <x:v>5</x:v>
      </x:c>
      <x:c r="B9" s="42" t="str">
        <x:v>12</x:v>
      </x:c>
      <x:c r="C9" s="42" t="str">
        <x:v>Ректорат</x:v>
      </x:c>
      <x:c r="D9" s="25" t="n">
        <x:v>3809242</x:v>
      </x:c>
      <x:c r="E9" s="25" t="n">
        <x:v>173647563.712</x:v>
      </x:c>
      <x:c r="F9" s="41" t="n">
        <x:f>D9/$D$14</x:f>
        <x:v>0.09991329944085943</x:v>
      </x:c>
      <x:c r="G9" s="41" t="n">
        <x:v>0.5363998926820611</x:v>
      </x:c>
      <x:c r="H9" s="41" t="n">
        <x:v>0.9261270011561559</x:v>
      </x:c>
      <x:c r="I9" s="42" t="str">
        <x:v>weather_hour_of_week_ridge</x:v>
      </x:c>
      <x:c r="J9" s="41" t="n">
        <x:v>0.09818173736268047</x:v>
      </x:c>
      <x:c r="K9" s="42" t="n">
        <x:v>14</x:v>
      </x:c>
      <x:c r="L9" s="25" t="n">
        <x:v>7094.919831056124</x:v>
      </x:c>
      <x:c r="M9" s="25" t="n">
        <x:v>337928.1935852708</x:v>
      </x:c>
      <x:c r="N9" s="43" t="str">
        <x:f>IF(OR(M9&gt;=300000,H9&lt;0.85),"HIGH",IF(OR(M9&gt;0,H9&lt;0.90),"MEDIUM","MONITOR"))</x:f>
        <x:v>HIGH</x:v>
      </x:c>
    </x:row>
    <x:row r="10">
      <x:c r="A10" s="32" t="n">
        <x:v>6</x:v>
      </x:c>
      <x:c r="B10" s="42" t="str">
        <x:v>11</x:v>
      </x:c>
      <x:c r="C10" s="42" t="str">
        <x:v>Мед.корпус-2</x:v>
      </x:c>
      <x:c r="D10" s="25" t="n">
        <x:v>3373795</x:v>
      </x:c>
      <x:c r="E10" s="25" t="n">
        <x:v>154114888.4304</x:v>
      </x:c>
      <x:c r="F10" s="41" t="n">
        <x:f>D10/$D$14</x:f>
        <x:v>0.08849188108476025</x:v>
      </x:c>
      <x:c r="G10" s="41" t="n">
        <x:v>0.5244067882014171</x:v>
      </x:c>
      <x:c r="H10" s="41" t="n">
        <x:v>0.9376377194413343</x:v>
      </x:c>
      <x:c r="I10" s="42" t="str">
        <x:v>weather_hour_of_week_ridge</x:v>
      </x:c>
      <x:c r="J10" s="41" t="n">
        <x:v>0.23735603000946734</x:v>
      </x:c>
      <x:c r="K10" s="42" t="n">
        <x:v>22</x:v>
      </x:c>
      <x:c r="L10" s="25" t="n">
        <x:v>31072.043562227755</x:v>
      </x:c>
      <x:c r="M10" s="25" t="n">
        <x:v>1479949.006051483</x:v>
      </x:c>
      <x:c r="N10" s="43" t="str">
        <x:f>IF(OR(M10&gt;=300000,H10&lt;0.85),"HIGH",IF(OR(M10&gt;0,H10&lt;0.90),"MEDIUM","MONITOR"))</x:f>
        <x:v>HIGH</x:v>
      </x:c>
    </x:row>
    <x:row r="11">
      <x:c r="A11" s="32" t="n">
        <x:v>7</x:v>
      </x:c>
      <x:c r="B11" s="42" t="str">
        <x:v>17</x:v>
      </x:c>
      <x:c r="C11" s="42" t="str">
        <x:v>Поликлиника ТГП</x:v>
      </x:c>
      <x:c r="D11" s="25" t="n">
        <x:v>2352709</x:v>
      </x:c>
      <x:c r="E11" s="25" t="n">
        <x:v>106818160.7448</x:v>
      </x:c>
      <x:c r="F11" s="41" t="n">
        <x:f>D11/$D$14</x:f>
        <x:v>0.06170963115869376</x:v>
      </x:c>
      <x:c r="G11" s="41" t="n">
        <x:v>0.5608419910834702</x:v>
      </x:c>
      <x:c r="H11" s="41" t="n">
        <x:v>0.9335999299747728</x:v>
      </x:c>
      <x:c r="I11" s="42" t="str">
        <x:v>last_week</x:v>
      </x:c>
      <x:c r="J11" s="41" t="n">
        <x:v>0.48328263280699896</x:v>
      </x:c>
      <x:c r="K11" s="42" t="n">
        <x:v>0</x:v>
      </x:c>
      <x:c r="L11" s="25" t="n">
        <x:v>0</x:v>
      </x:c>
      <x:c r="M11" s="25" t="n">
        <x:v>0</x:v>
      </x:c>
      <x:c r="N11" s="43" t="str">
        <x:f>IF(OR(M11&gt;=300000,H11&lt;0.85),"HIGH",IF(OR(M11&gt;0,H11&lt;0.90),"MEDIUM","MONITOR"))</x:f>
        <x:v>MONITOR</x:v>
      </x:c>
    </x:row>
    <x:row r="12">
      <x:c r="A12" s="32" t="n">
        <x:v>8</x:v>
      </x:c>
      <x:c r="B12" s="42" t="str">
        <x:v>1</x:v>
      </x:c>
      <x:c r="C12" s="42" t="str">
        <x:v>Бот.сад</x:v>
      </x:c>
      <x:c r="D12" s="25" t="n">
        <x:v>1614485</x:v>
      </x:c>
      <x:c r="E12" s="25" t="n">
        <x:v>73763211.2952</x:v>
      </x:c>
      <x:c r="F12" s="41" t="n">
        <x:f>D12/$D$14</x:f>
        <x:v>0.04234661994375152</x:v>
      </x:c>
      <x:c r="G12" s="41" t="n">
        <x:v>0.5700152060873901</x:v>
      </x:c>
      <x:c r="H12" s="41" t="n">
        <x:v>0.8697870545965495</x:v>
      </x:c>
      <x:c r="I12" s="42" t="str">
        <x:v>last_week</x:v>
      </x:c>
      <x:c r="J12" s="41" t="n">
        <x:v>0.14413650532164027</x:v>
      </x:c>
      <x:c r="K12" s="42" t="n">
        <x:v>9</x:v>
      </x:c>
      <x:c r="L12" s="25" t="n">
        <x:v>3230</x:v>
      </x:c>
      <x:c r="M12" s="25" t="n">
        <x:v>153843.608</x:v>
      </x:c>
      <x:c r="N12" s="43" t="str">
        <x:f>IF(OR(M12&gt;=300000,H12&lt;0.85),"HIGH",IF(OR(M12&gt;0,H12&lt;0.90),"MEDIUM","MONITOR"))</x:f>
        <x:v>MEDIUM</x:v>
      </x:c>
    </x:row>
    <x:row r="13">
      <x:c r="A13" s="32" t="n">
        <x:v>9</x:v>
      </x:c>
      <x:c r="B13" s="42" t="str">
        <x:v>19</x:v>
      </x:c>
      <x:c r="C13" s="42" t="str">
        <x:v>Мкр. Отрар-2</x:v>
      </x:c>
      <x:c r="D13" s="25" t="n">
        <x:v>1599380</x:v>
      </x:c>
      <x:c r="E13" s="25" t="n">
        <x:v>74509272.944</x:v>
      </x:c>
      <x:c r="F13" s="41" t="n">
        <x:f>D13/$D$14</x:f>
        <x:v>0.04195042815859999</x:v>
      </x:c>
      <x:c r="G13" s="41" t="n">
        <x:v>0.5632632645149995</x:v>
      </x:c>
      <x:c r="H13" s="41" t="n">
        <x:v>0.6306924626564143</x:v>
      </x:c>
      <x:c r="I13" s="42" t="str">
        <x:v>median_previous_4_weeks</x:v>
      </x:c>
      <x:c r="J13" s="41" t="n">
        <x:v>0.138465133504991</x:v>
      </x:c>
      <x:c r="K13" s="42" t="n">
        <x:v>1</x:v>
      </x:c>
      <x:c r="L13" s="25" t="n">
        <x:v>4879</x:v>
      </x:c>
      <x:c r="M13" s="25" t="n">
        <x:v>232384.81840000002</x:v>
      </x:c>
      <x:c r="N13" s="43" t="str">
        <x:f>IF(OR(M13&gt;=300000,H13&lt;0.85),"HIGH",IF(OR(M13&gt;0,H13&lt;0.90),"MEDIUM","MONITOR"))</x:f>
        <x:v>HIGH</x:v>
      </x:c>
    </x:row>
    <x:row r="14">
      <x:c r="A14" s="34" t="str">
        <x:v>Total</x:v>
      </x:c>
      <x:c r="B14" s="44"/>
      <x:c r="C14" s="44"/>
      <x:c r="D14" s="35" t="n">
        <x:f>SUM(D5:D13)</x:f>
        <x:v>38125475</x:v>
      </x:c>
      <x:c r="E14" s="35" t="n">
        <x:f>SUM(E5:E13)</x:f>
        <x:v>1736083886.5279999</x:v>
      </x:c>
      <x:c r="F14" s="44"/>
      <x:c r="G14" s="44"/>
      <x:c r="H14" s="44"/>
      <x:c r="I14" s="44"/>
      <x:c r="J14" s="44"/>
      <x:c r="K14" s="44" t="n">
        <x:f>SUM(K5:K13)</x:f>
        <x:v>52</x:v>
      </x:c>
      <x:c r="L14" s="35" t="n">
        <x:f>SUM(L5:L13)</x:f>
        <x:v>71495.96339328388</x:v>
      </x:c>
      <x:c r="M14" s="35" t="n">
        <x:f>SUM(M5:M13)</x:f>
        <x:v>3405324.138036754</x:v>
      </x:c>
      <x:c r="N14" s="45"/>
    </x:row>
  </x:sheetData>
  <x:mergeCells>
    <x:mergeCell ref="A1:N1"/>
    <x:mergeCell ref="A2:N2"/>
  </x:mergeCells>
  <x:conditionalFormatting sqref="H5:H13">
    <x:cfRule type="cellIs" dxfId="1" priority="1" operator="lessThan">
      <x:formula>0.9</x:formula>
    </x:cfRule>
  </x:conditionalFormatting>
  <x:conditionalFormatting sqref="J5:J13">
    <x:cfRule type="cellIs" dxfId="2" priority="2" operator="greaterThan">
      <x:formula>0.25</x:formula>
    </x:cfRule>
  </x:conditionalFormatting>
  <x:conditionalFormatting sqref="N5:N13">
    <x:cfRule type="containsText" dxfId="3" priority="3" operator="containsText" text="HIGH"/>
    <x:cfRule type="containsText" dxfId="4" priority="4" operator="containsText" text="MEDIUM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10" hidden="0" customWidth="1"/>
    <x:col min="4" max="4" width="2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2" customHeight="1">
      <x:c r="A1" s="4" t="str">
        <x:v>Candidate excess-energy events — last 8 validation weeks</x:v>
      </x:c>
      <x:c r="B1" s="4" t="str">
        <x:v>Candidate excess-energy events — last 8 validation weeks</x:v>
      </x:c>
      <x:c r="C1" s="4" t="str">
        <x:v>Candidate excess-energy events — last 8 validation weeks</x:v>
      </x:c>
      <x:c r="D1" s="4" t="str">
        <x:v>Candidate excess-energy events — last 8 validation weeks</x:v>
      </x:c>
      <x:c r="E1" s="4" t="str">
        <x:v>Candidate excess-energy events — last 8 validation weeks</x:v>
      </x:c>
      <x:c r="F1" s="4" t="str">
        <x:v>Candidate excess-energy events — last 8 validation weeks</x:v>
      </x:c>
      <x:c r="G1" s="4" t="str">
        <x:v>Candidate excess-energy events — last 8 validation weeks</x:v>
      </x:c>
      <x:c r="H1" s="4" t="str">
        <x:v>Candidate excess-energy events — last 8 validation weeks</x:v>
      </x:c>
      <x:c r="I1" s="4" t="str">
        <x:v>Candidate excess-energy events — last 8 validation weeks</x:v>
      </x:c>
      <x:c r="J1" s="4" t="str">
        <x:v>Candidate excess-energy events — last 8 validation weeks</x:v>
      </x:c>
      <x:c r="K1" s="4" t="str">
        <x:v>Candidate excess-energy events — last 8 validation weeks</x:v>
      </x:c>
      <x:c r="L1" s="4" t="str">
        <x:v>Candidate excess-energy events — last 8 validation weeks</x:v>
      </x:c>
      <x:c r="M1" s="4" t="str">
        <x:v>Candidate excess-energy events — last 8 validation weeks</x:v>
      </x:c>
    </x:row>
    <x:row r="2">
      <x:c r="A2" s="39" t="str">
        <x:v>These are ranked investigation candidates, not confirmed faults or realized savings. Cost = excess kWh × applicable gross tariff.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4" ht="34" customHeight="1">
      <x:c r="A4" s="29" t="str">
        <x:v>Start</x:v>
      </x:c>
      <x:c r="B4" s="30" t="str">
        <x:v>End</x:v>
      </x:c>
      <x:c r="C4" s="30" t="str">
        <x:v>Cell</x:v>
      </x:c>
      <x:c r="D4" s="30" t="str">
        <x:v>Load</x:v>
      </x:c>
      <x:c r="E4" s="30" t="str">
        <x:v>Hours</x:v>
      </x:c>
      <x:c r="F4" s="30" t="str">
        <x:v>Excess (kWh)</x:v>
      </x:c>
      <x:c r="G4" s="30" t="str">
        <x:v>Tariff</x:v>
      </x:c>
      <x:c r="H4" s="30" t="str">
        <x:v>Candidate value (KZT)</x:v>
      </x:c>
      <x:c r="I4" s="30" t="str">
        <x:v>Baseline</x:v>
      </x:c>
      <x:c r="J4" s="30" t="str">
        <x:v>wMAPE</x:v>
      </x:c>
      <x:c r="K4" s="30" t="str">
        <x:v>Quality</x:v>
      </x:c>
      <x:c r="L4" s="30" t="str">
        <x:v>Peak hourly excess</x:v>
      </x:c>
      <x:c r="M4" s="31" t="str">
        <x:v>Max relative excess</x:v>
      </x:c>
    </x:row>
    <x:row r="5">
      <x:c r="A5" s="47" t="n">
        <x:v>46155.125</x:v>
      </x:c>
      <x:c r="B5" s="46" t="n">
        <x:v>46155.958333333336</x:v>
      </x:c>
      <x:c r="C5" s="42" t="str">
        <x:v>1A</x:v>
      </x:c>
      <x:c r="D5" s="42" t="str">
        <x:v>Мкр.Отрар-1</x:v>
      </x:c>
      <x:c r="E5" s="25" t="n">
        <x:v>20</x:v>
      </x:c>
      <x:c r="F5" s="25" t="n">
        <x:v>13811</x:v>
      </x:c>
      <x:c r="G5" s="27" t="n">
        <x:v>47.6296</x:v>
      </x:c>
      <x:c r="H5" s="25" t="n">
        <x:f>F5*G5</x:f>
        <x:v>657812.4056</x:v>
      </x:c>
      <x:c r="I5" s="42" t="str">
        <x:v>last_week</x:v>
      </x:c>
      <x:c r="J5" s="41" t="n">
        <x:v>0.12112130108542324</x:v>
      </x:c>
      <x:c r="K5" s="42" t="str">
        <x:v>good</x:v>
      </x:c>
      <x:c r="L5" s="25" t="n">
        <x:v>908</x:v>
      </x:c>
      <x:c r="M5" s="48" t="n">
        <x:v>20.636363636363637</x:v>
      </x:c>
    </x:row>
    <x:row r="6">
      <x:c r="A6" s="47" t="n">
        <x:v>46148.125</x:v>
      </x:c>
      <x:c r="B6" s="46" t="n">
        <x:v>46148.958333333336</x:v>
      </x:c>
      <x:c r="C6" s="42" t="str">
        <x:v>19</x:v>
      </x:c>
      <x:c r="D6" s="42" t="str">
        <x:v>Мкр. Отрар-2</x:v>
      </x:c>
      <x:c r="E6" s="25" t="n">
        <x:v>20</x:v>
      </x:c>
      <x:c r="F6" s="25" t="n">
        <x:v>4879</x:v>
      </x:c>
      <x:c r="G6" s="27" t="n">
        <x:v>47.6296</x:v>
      </x:c>
      <x:c r="H6" s="25" t="n">
        <x:f>F6*G6</x:f>
        <x:v>232384.81840000002</x:v>
      </x:c>
      <x:c r="I6" s="42" t="str">
        <x:v>median_4w</x:v>
      </x:c>
      <x:c r="J6" s="41" t="n">
        <x:v>0.138465133504991</x:v>
      </x:c>
      <x:c r="K6" s="42" t="str">
        <x:v>good</x:v>
      </x:c>
      <x:c r="L6" s="25" t="n">
        <x:v>296.5</x:v>
      </x:c>
      <x:c r="M6" s="48" t="n">
        <x:v>1.2589285714285714</x:v>
      </x:c>
    </x:row>
    <x:row r="7">
      <x:c r="A7" s="47" t="n">
        <x:v>46176.208333333336</x:v>
      </x:c>
      <x:c r="B7" s="46" t="n">
        <x:v>46176.583333333336</x:v>
      </x:c>
      <x:c r="C7" s="42" t="str">
        <x:v>7</x:v>
      </x:c>
      <x:c r="D7" s="42" t="str">
        <x:v>Население Л-4А</x:v>
      </x:c>
      <x:c r="E7" s="25" t="n">
        <x:v>9</x:v>
      </x:c>
      <x:c r="F7" s="25" t="n">
        <x:v>3941</x:v>
      </x:c>
      <x:c r="G7" s="27" t="n">
        <x:v>47.6296</x:v>
      </x:c>
      <x:c r="H7" s="25" t="n">
        <x:f>F7*G7</x:f>
        <x:v>187708.25360000003</x:v>
      </x:c>
      <x:c r="I7" s="42" t="str">
        <x:v>last_week</x:v>
      </x:c>
      <x:c r="J7" s="41" t="n">
        <x:v>0.10937175824528782</x:v>
      </x:c>
      <x:c r="K7" s="42" t="str">
        <x:v>good</x:v>
      </x:c>
      <x:c r="L7" s="25" t="n">
        <x:v>496</x:v>
      </x:c>
      <x:c r="M7" s="48" t="n">
        <x:v>0.6985915492957746</x:v>
      </x:c>
    </x:row>
    <x:row r="8">
      <x:c r="A8" s="47" t="n">
        <x:v>46202.208333333336</x:v>
      </x:c>
      <x:c r="B8" s="46" t="n">
        <x:v>46202.541666666664</x:v>
      </x:c>
      <x:c r="C8" s="42" t="str">
        <x:v>11</x:v>
      </x:c>
      <x:c r="D8" s="42" t="str">
        <x:v>Мед.корпус-2</x:v>
      </x:c>
      <x:c r="E8" s="25" t="n">
        <x:v>8</x:v>
      </x:c>
      <x:c r="F8" s="25" t="n">
        <x:v>2898.901819215889</x:v>
      </x:c>
      <x:c r="G8" s="27" t="n">
        <x:v>47.6296</x:v>
      </x:c>
      <x:c r="H8" s="25" t="n">
        <x:f>F8*G8</x:f>
        <x:v>138073.53408852514</x:v>
      </x:c>
      <x:c r="I8" s="42" t="str">
        <x:v>weather_hour_of_week</x:v>
      </x:c>
      <x:c r="J8" s="41" t="n">
        <x:v>0.23735603000946734</x:v>
      </x:c>
      <x:c r="K8" s="42" t="str">
        <x:v>usable</x:v>
      </x:c>
      <x:c r="L8" s="25" t="n">
        <x:v>410.4762584863716</x:v>
      </x:c>
      <x:c r="M8" s="48" t="n">
        <x:v>0.9042310370527181</x:v>
      </x:c>
    </x:row>
    <x:row r="9">
      <x:c r="A9" s="47" t="n">
        <x:v>46188.208333333336</x:v>
      </x:c>
      <x:c r="B9" s="46" t="n">
        <x:v>46188.541666666664</x:v>
      </x:c>
      <x:c r="C9" s="42" t="str">
        <x:v>11</x:v>
      </x:c>
      <x:c r="D9" s="42" t="str">
        <x:v>Мед.корпус-2</x:v>
      </x:c>
      <x:c r="E9" s="25" t="n">
        <x:v>8</x:v>
      </x:c>
      <x:c r="F9" s="25" t="n">
        <x:v>2826.487388423483</x:v>
      </x:c>
      <x:c r="G9" s="27" t="n">
        <x:v>47.6296</x:v>
      </x:c>
      <x:c r="H9" s="25" t="n">
        <x:f>F9*G9</x:f>
        <x:v>134624.46371565515</x:v>
      </x:c>
      <x:c r="I9" s="42" t="str">
        <x:v>weather_hour_of_week</x:v>
      </x:c>
      <x:c r="J9" s="41" t="n">
        <x:v>0.23735603000946734</x:v>
      </x:c>
      <x:c r="K9" s="42" t="str">
        <x:v>usable</x:v>
      </x:c>
      <x:c r="L9" s="25" t="n">
        <x:v>404.9968553764428</x:v>
      </x:c>
      <x:c r="M9" s="48" t="n">
        <x:v>0.8577120939404755</x:v>
      </x:c>
    </x:row>
    <x:row r="10">
      <x:c r="A10" s="47" t="n">
        <x:v>46191.208333333336</x:v>
      </x:c>
      <x:c r="B10" s="46" t="n">
        <x:v>46191.583333333336</x:v>
      </x:c>
      <x:c r="C10" s="42" t="str">
        <x:v>11</x:v>
      </x:c>
      <x:c r="D10" s="42" t="str">
        <x:v>Мед.корпус-2</x:v>
      </x:c>
      <x:c r="E10" s="25" t="n">
        <x:v>9</x:v>
      </x:c>
      <x:c r="F10" s="25" t="n">
        <x:v>2737.1213474355645</x:v>
      </x:c>
      <x:c r="G10" s="27" t="n">
        <x:v>47.6296</x:v>
      </x:c>
      <x:c r="H10" s="25" t="n">
        <x:f>F10*G10</x:f>
        <x:v>130367.99492981697</x:v>
      </x:c>
      <x:c r="I10" s="42" t="str">
        <x:v>weather_hour_of_week</x:v>
      </x:c>
      <x:c r="J10" s="41" t="n">
        <x:v>0.23735603000946734</x:v>
      </x:c>
      <x:c r="K10" s="42" t="str">
        <x:v>usable</x:v>
      </x:c>
      <x:c r="L10" s="25" t="n">
        <x:v>361.5974143000833</x:v>
      </x:c>
      <x:c r="M10" s="48" t="n">
        <x:v>0.7043155300963689</x:v>
      </x:c>
    </x:row>
    <x:row r="11">
      <x:c r="A11" s="47" t="n">
        <x:v>46195.208333333336</x:v>
      </x:c>
      <x:c r="B11" s="46" t="n">
        <x:v>46195.583333333336</x:v>
      </x:c>
      <x:c r="C11" s="42" t="str">
        <x:v>11</x:v>
      </x:c>
      <x:c r="D11" s="42" t="str">
        <x:v>Мед.корпус-2</x:v>
      </x:c>
      <x:c r="E11" s="25" t="n">
        <x:v>9</x:v>
      </x:c>
      <x:c r="F11" s="25" t="n">
        <x:v>2715.089308078673</x:v>
      </x:c>
      <x:c r="G11" s="27" t="n">
        <x:v>47.6296</x:v>
      </x:c>
      <x:c r="H11" s="25" t="n">
        <x:f>F11*G11</x:f>
        <x:v>129318.61770806398</x:v>
      </x:c>
      <x:c r="I11" s="42" t="str">
        <x:v>weather_hour_of_week</x:v>
      </x:c>
      <x:c r="J11" s="41" t="n">
        <x:v>0.23735603000946734</x:v>
      </x:c>
      <x:c r="K11" s="42" t="str">
        <x:v>usable</x:v>
      </x:c>
      <x:c r="L11" s="25" t="n">
        <x:v>365.52875042868925</x:v>
      </x:c>
      <x:c r="M11" s="48" t="n">
        <x:v>0.8170619924283785</x:v>
      </x:c>
    </x:row>
    <x:row r="12">
      <x:c r="A12" s="47" t="n">
        <x:v>46203.166666666664</x:v>
      </x:c>
      <x:c r="B12" s="46" t="n">
        <x:v>46203.541666666664</x:v>
      </x:c>
      <x:c r="C12" s="42" t="str">
        <x:v>11</x:v>
      </x:c>
      <x:c r="D12" s="42" t="str">
        <x:v>Мед.корпус-2</x:v>
      </x:c>
      <x:c r="E12" s="25" t="n">
        <x:v>9</x:v>
      </x:c>
      <x:c r="F12" s="25" t="n">
        <x:v>2605.6194259018935</x:v>
      </x:c>
      <x:c r="G12" s="27" t="n">
        <x:v>47.6296</x:v>
      </x:c>
      <x:c r="H12" s="25" t="n">
        <x:f>F12*G12</x:f>
        <x:v>124104.61100793684</x:v>
      </x:c>
      <x:c r="I12" s="42" t="str">
        <x:v>weather_hour_of_week</x:v>
      </x:c>
      <x:c r="J12" s="41" t="n">
        <x:v>0.23735603000946734</x:v>
      </x:c>
      <x:c r="K12" s="42" t="str">
        <x:v>usable</x:v>
      </x:c>
      <x:c r="L12" s="25" t="n">
        <x:v>368.6028441008342</x:v>
      </x:c>
      <x:c r="M12" s="48" t="n">
        <x:v>0.7993483946070061</x:v>
      </x:c>
    </x:row>
    <x:row r="13">
      <x:c r="A13" s="47" t="n">
        <x:v>46181.208333333336</x:v>
      </x:c>
      <x:c r="B13" s="46" t="n">
        <x:v>46181.541666666664</x:v>
      </x:c>
      <x:c r="C13" s="42" t="str">
        <x:v>11</x:v>
      </x:c>
      <x:c r="D13" s="42" t="str">
        <x:v>Мед.корпус-2</x:v>
      </x:c>
      <x:c r="E13" s="25" t="n">
        <x:v>8</x:v>
      </x:c>
      <x:c r="F13" s="25" t="n">
        <x:v>2551.3269418203345</x:v>
      </x:c>
      <x:c r="G13" s="27" t="n">
        <x:v>47.6296</x:v>
      </x:c>
      <x:c r="H13" s="25" t="n">
        <x:f>F13*G13</x:f>
        <x:v>121518.6817081258</x:v>
      </x:c>
      <x:c r="I13" s="42" t="str">
        <x:v>weather_hour_of_week</x:v>
      </x:c>
      <x:c r="J13" s="41" t="n">
        <x:v>0.23735603000946734</x:v>
      </x:c>
      <x:c r="K13" s="42" t="str">
        <x:v>usable</x:v>
      </x:c>
      <x:c r="L13" s="25" t="n">
        <x:v>374.6532959715561</x:v>
      </x:c>
      <x:c r="M13" s="48" t="n">
        <x:v>0.822786884492641</x:v>
      </x:c>
    </x:row>
    <x:row r="14">
      <x:c r="A14" s="47" t="n">
        <x:v>46164.333333333336</x:v>
      </x:c>
      <x:c r="B14" s="46" t="n">
        <x:v>46164.5</x:v>
      </x:c>
      <x:c r="C14" s="42" t="str">
        <x:v>7</x:v>
      </x:c>
      <x:c r="D14" s="42" t="str">
        <x:v>Население Л-4А</x:v>
      </x:c>
      <x:c r="E14" s="25" t="n">
        <x:v>4</x:v>
      </x:c>
      <x:c r="F14" s="25" t="n">
        <x:v>2425</x:v>
      </x:c>
      <x:c r="G14" s="27" t="n">
        <x:v>47.6296</x:v>
      </x:c>
      <x:c r="H14" s="25" t="n">
        <x:f>F14*G14</x:f>
        <x:v>115501.78000000001</x:v>
      </x:c>
      <x:c r="I14" s="42" t="str">
        <x:v>last_week</x:v>
      </x:c>
      <x:c r="J14" s="41" t="n">
        <x:v>0.10937175824528782</x:v>
      </x:c>
      <x:c r="K14" s="42" t="str">
        <x:v>good</x:v>
      </x:c>
      <x:c r="L14" s="25" t="n">
        <x:v>948</x:v>
      </x:c>
      <x:c r="M14" s="48" t="n">
        <x:v>23.5527950310559</x:v>
      </x:c>
    </x:row>
    <x:row r="15">
      <x:c r="A15" s="47" t="n">
        <x:v>46192.208333333336</x:v>
      </x:c>
      <x:c r="B15" s="46" t="n">
        <x:v>46192.541666666664</x:v>
      </x:c>
      <x:c r="C15" s="42" t="str">
        <x:v>11</x:v>
      </x:c>
      <x:c r="D15" s="42" t="str">
        <x:v>Мед.корпус-2</x:v>
      </x:c>
      <x:c r="E15" s="25" t="n">
        <x:v>8</x:v>
      </x:c>
      <x:c r="F15" s="25" t="n">
        <x:v>2318.0328371276387</x:v>
      </x:c>
      <x:c r="G15" s="27" t="n">
        <x:v>47.6296</x:v>
      </x:c>
      <x:c r="H15" s="25" t="n">
        <x:f>F15*G15</x:f>
        <x:v>110406.97681925459</x:v>
      </x:c>
      <x:c r="I15" s="42" t="str">
        <x:v>weather_hour_of_week</x:v>
      </x:c>
      <x:c r="J15" s="41" t="n">
        <x:v>0.23735603000946734</x:v>
      </x:c>
      <x:c r="K15" s="42" t="str">
        <x:v>usable</x:v>
      </x:c>
      <x:c r="L15" s="25" t="n">
        <x:v>318.3410183465529</x:v>
      </x:c>
      <x:c r="M15" s="48" t="n">
        <x:v>0.6556192325867793</x:v>
      </x:c>
    </x:row>
    <x:row r="16">
      <x:c r="A16" s="47" t="n">
        <x:v>46155.208333333336</x:v>
      </x:c>
      <x:c r="B16" s="46" t="n">
        <x:v>46155.333333333336</x:v>
      </x:c>
      <x:c r="C16" s="42" t="str">
        <x:v>7</x:v>
      </x:c>
      <x:c r="D16" s="42" t="str">
        <x:v>Население Л-4А</x:v>
      </x:c>
      <x:c r="E16" s="25" t="n">
        <x:v>3</x:v>
      </x:c>
      <x:c r="F16" s="25" t="n">
        <x:v>2300</x:v>
      </x:c>
      <x:c r="G16" s="27" t="n">
        <x:v>47.6296</x:v>
      </x:c>
      <x:c r="H16" s="25" t="n">
        <x:f>F16*G16</x:f>
        <x:v>109548.08</x:v>
      </x:c>
      <x:c r="I16" s="42" t="str">
        <x:v>last_week</x:v>
      </x:c>
      <x:c r="J16" s="41" t="n">
        <x:v>0.10937175824528782</x:v>
      </x:c>
      <x:c r="K16" s="42" t="str">
        <x:v>good</x:v>
      </x:c>
      <x:c r="L16" s="25" t="n">
        <x:v>829</x:v>
      </x:c>
      <x:c r="M16" s="48" t="n">
        <x:v>20.596273291925467</x:v>
      </x:c>
    </x:row>
    <x:row r="17">
      <x:c r="A17" s="47" t="n">
        <x:v>46174.375</x:v>
      </x:c>
      <x:c r="B17" s="46" t="n">
        <x:v>46174.583333333336</x:v>
      </x:c>
      <x:c r="C17" s="42" t="str">
        <x:v>7</x:v>
      </x:c>
      <x:c r="D17" s="42" t="str">
        <x:v>Население Л-4А</x:v>
      </x:c>
      <x:c r="E17" s="25" t="n">
        <x:v>5</x:v>
      </x:c>
      <x:c r="F17" s="25" t="n">
        <x:v>2000</x:v>
      </x:c>
      <x:c r="G17" s="27" t="n">
        <x:v>47.6296</x:v>
      </x:c>
      <x:c r="H17" s="25" t="n">
        <x:f>F17*G17</x:f>
        <x:v>95259.20000000001</x:v>
      </x:c>
      <x:c r="I17" s="42" t="str">
        <x:v>last_week</x:v>
      </x:c>
      <x:c r="J17" s="41" t="n">
        <x:v>0.10937175824528782</x:v>
      </x:c>
      <x:c r="K17" s="42" t="str">
        <x:v>good</x:v>
      </x:c>
      <x:c r="L17" s="25" t="n">
        <x:v>415</x:v>
      </x:c>
      <x:c r="M17" s="48" t="n">
        <x:v>0.46998867497168745</x:v>
      </x:c>
    </x:row>
    <x:row r="18">
      <x:c r="A18" s="47" t="n">
        <x:v>46196.208333333336</x:v>
      </x:c>
      <x:c r="B18" s="46" t="n">
        <x:v>46196.5</x:v>
      </x:c>
      <x:c r="C18" s="42" t="str">
        <x:v>11</x:v>
      </x:c>
      <x:c r="D18" s="42" t="str">
        <x:v>Мед.корпус-2</x:v>
      </x:c>
      <x:c r="E18" s="25" t="n">
        <x:v>7</x:v>
      </x:c>
      <x:c r="F18" s="25" t="n">
        <x:v>1703.6038102602865</x:v>
      </x:c>
      <x:c r="G18" s="27" t="n">
        <x:v>47.6296</x:v>
      </x:c>
      <x:c r="H18" s="25" t="n">
        <x:f>F18*G18</x:f>
        <x:v>81141.96804117334</x:v>
      </x:c>
      <x:c r="I18" s="42" t="str">
        <x:v>weather_hour_of_week</x:v>
      </x:c>
      <x:c r="J18" s="41" t="n">
        <x:v>0.23735603000946734</x:v>
      </x:c>
      <x:c r="K18" s="42" t="str">
        <x:v>usable</x:v>
      </x:c>
      <x:c r="L18" s="25" t="n">
        <x:v>270.8518986262046</x:v>
      </x:c>
      <x:c r="M18" s="48" t="n">
        <x:v>0.5070726600536266</x:v>
      </x:c>
    </x:row>
    <x:row r="19">
      <x:c r="A19" s="47" t="n">
        <x:v>46189.208333333336</x:v>
      </x:c>
      <x:c r="B19" s="46" t="n">
        <x:v>46189.416666666664</x:v>
      </x:c>
      <x:c r="C19" s="42" t="str">
        <x:v>11</x:v>
      </x:c>
      <x:c r="D19" s="42" t="str">
        <x:v>Мед.корпус-2</x:v>
      </x:c>
      <x:c r="E19" s="25" t="n">
        <x:v>5</x:v>
      </x:c>
      <x:c r="F19" s="25" t="n">
        <x:v>1331.182096705223</x:v>
      </x:c>
      <x:c r="G19" s="27" t="n">
        <x:v>47.6296</x:v>
      </x:c>
      <x:c r="H19" s="25" t="n">
        <x:f>F19*G19</x:f>
        <x:v>63403.6707932311</x:v>
      </x:c>
      <x:c r="I19" s="42" t="str">
        <x:v>weather_hour_of_week</x:v>
      </x:c>
      <x:c r="J19" s="41" t="n">
        <x:v>0.23735603000946734</x:v>
      </x:c>
      <x:c r="K19" s="42" t="str">
        <x:v>usable</x:v>
      </x:c>
      <x:c r="L19" s="25" t="n">
        <x:v>341.08256362946594</x:v>
      </x:c>
      <x:c r="M19" s="48" t="n">
        <x:v>0.6962041730057931</x:v>
      </x:c>
    </x:row>
    <x:row r="20">
      <x:c r="A20" s="47" t="n">
        <x:v>46202.25</x:v>
      </x:c>
      <x:c r="B20" s="46" t="n">
        <x:v>46202.541666666664</x:v>
      </x:c>
      <x:c r="C20" s="42" t="str">
        <x:v>12</x:v>
      </x:c>
      <x:c r="D20" s="42" t="str">
        <x:v>Ректорат</x:v>
      </x:c>
      <x:c r="E20" s="25" t="n">
        <x:v>7</x:v>
      </x:c>
      <x:c r="F20" s="25" t="n">
        <x:v>1311.0375685793101</x:v>
      </x:c>
      <x:c r="G20" s="27" t="n">
        <x:v>47.6296</x:v>
      </x:c>
      <x:c r="H20" s="25" t="n">
        <x:f>F20*G20</x:f>
        <x:v>62444.19497640512</x:v>
      </x:c>
      <x:c r="I20" s="42" t="str">
        <x:v>weather_hour_of_week</x:v>
      </x:c>
      <x:c r="J20" s="41" t="n">
        <x:v>0.09818173736268047</x:v>
      </x:c>
      <x:c r="K20" s="42" t="str">
        <x:v>good</x:v>
      </x:c>
      <x:c r="L20" s="25" t="n">
        <x:v>234.6106361274202</x:v>
      </x:c>
      <x:c r="M20" s="48" t="n">
        <x:v>0.47263429316274264</x:v>
      </x:c>
    </x:row>
    <x:row r="21">
      <x:c r="A21" s="47" t="n">
        <x:v>46176.375</x:v>
      </x:c>
      <x:c r="B21" s="46" t="n">
        <x:v>46176.583333333336</x:v>
      </x:c>
      <x:c r="C21" s="42" t="str">
        <x:v>11</x:v>
      </x:c>
      <x:c r="D21" s="42" t="str">
        <x:v>Мед.корпус-2</x:v>
      </x:c>
      <x:c r="E21" s="25" t="n">
        <x:v>5</x:v>
      </x:c>
      <x:c r="F21" s="25" t="n">
        <x:v>1181.9282169561193</x:v>
      </x:c>
      <x:c r="G21" s="27" t="n">
        <x:v>47.6296</x:v>
      </x:c>
      <x:c r="H21" s="25" t="n">
        <x:f>F21*G21</x:f>
        <x:v>56294.76820233318</x:v>
      </x:c>
      <x:c r="I21" s="42" t="str">
        <x:v>weather_hour_of_week</x:v>
      </x:c>
      <x:c r="J21" s="41" t="n">
        <x:v>0.23735603000946734</x:v>
      </x:c>
      <x:c r="K21" s="42" t="str">
        <x:v>usable</x:v>
      </x:c>
      <x:c r="L21" s="25" t="n">
        <x:v>249.52190201450298</x:v>
      </x:c>
      <x:c r="M21" s="48" t="n">
        <x:v>0.5079042245897779</x:v>
      </x:c>
    </x:row>
    <x:row r="22">
      <x:c r="A22" s="47" t="n">
        <x:v>46199.375</x:v>
      </x:c>
      <x:c r="B22" s="46" t="n">
        <x:v>46199.541666666664</x:v>
      </x:c>
      <x:c r="C22" s="42" t="str">
        <x:v>11</x:v>
      </x:c>
      <x:c r="D22" s="42" t="str">
        <x:v>Мед.корпус-2</x:v>
      </x:c>
      <x:c r="E22" s="25" t="n">
        <x:v>4</x:v>
      </x:c>
      <x:c r="F22" s="25" t="n">
        <x:v>1039.0636039826704</x:v>
      </x:c>
      <x:c r="G22" s="27" t="n">
        <x:v>47.6296</x:v>
      </x:c>
      <x:c r="H22" s="25" t="n">
        <x:f>F22*G22</x:f>
        <x:v>49490.183832253</x:v>
      </x:c>
      <x:c r="I22" s="42" t="str">
        <x:v>weather_hour_of_week</x:v>
      </x:c>
      <x:c r="J22" s="41" t="n">
        <x:v>0.23735603000946734</x:v>
      </x:c>
      <x:c r="K22" s="42" t="str">
        <x:v>usable</x:v>
      </x:c>
      <x:c r="L22" s="25" t="n">
        <x:v>303.24520744872416</x:v>
      </x:c>
      <x:c r="M22" s="48" t="n">
        <x:v>0.49488834870817977</x:v>
      </x:c>
    </x:row>
    <x:row r="23">
      <x:c r="A23" s="47" t="n">
        <x:v>46190.375</x:v>
      </x:c>
      <x:c r="B23" s="46" t="n">
        <x:v>46190.541666666664</x:v>
      </x:c>
      <x:c r="C23" s="42" t="str">
        <x:v>11</x:v>
      </x:c>
      <x:c r="D23" s="42" t="str">
        <x:v>Мед.корпус-2</x:v>
      </x:c>
      <x:c r="E23" s="25" t="n">
        <x:v>4</x:v>
      </x:c>
      <x:c r="F23" s="25" t="n">
        <x:v>995.8840934734111</x:v>
      </x:c>
      <x:c r="G23" s="27" t="n">
        <x:v>47.6296</x:v>
      </x:c>
      <x:c r="H23" s="25" t="n">
        <x:f>F23*G23</x:f>
        <x:v>47433.56101850118</x:v>
      </x:c>
      <x:c r="I23" s="42" t="str">
        <x:v>weather_hour_of_week</x:v>
      </x:c>
      <x:c r="J23" s="41" t="n">
        <x:v>0.23735603000946734</x:v>
      </x:c>
      <x:c r="K23" s="42" t="str">
        <x:v>usable</x:v>
      </x:c>
      <x:c r="L23" s="25" t="n">
        <x:v>285.4095637784642</x:v>
      </x:c>
      <x:c r="M23" s="48" t="n">
        <x:v>0.47521496608245534</x:v>
      </x:c>
    </x:row>
    <x:row r="24">
      <x:c r="A24" s="47" t="n">
        <x:v>46197.208333333336</x:v>
      </x:c>
      <x:c r="B24" s="46" t="n">
        <x:v>46197.333333333336</x:v>
      </x:c>
      <x:c r="C24" s="42" t="str">
        <x:v>11</x:v>
      </x:c>
      <x:c r="D24" s="42" t="str">
        <x:v>Мед.корпус-2</x:v>
      </x:c>
      <x:c r="E24" s="25" t="n">
        <x:v>3</x:v>
      </x:c>
      <x:c r="F24" s="25" t="n">
        <x:v>911.6869142284504</x:v>
      </x:c>
      <x:c r="G24" s="27" t="n">
        <x:v>47.6296</x:v>
      </x:c>
      <x:c r="H24" s="25" t="n">
        <x:f>F24*G24</x:f>
        <x:v>43423.2830499354</x:v>
      </x:c>
      <x:c r="I24" s="42" t="str">
        <x:v>weather_hour_of_week</x:v>
      </x:c>
      <x:c r="J24" s="41" t="n">
        <x:v>0.23735603000946734</x:v>
      </x:c>
      <x:c r="K24" s="42" t="str">
        <x:v>usable</x:v>
      </x:c>
      <x:c r="L24" s="25" t="n">
        <x:v>327.54764574835525</x:v>
      </x:c>
      <x:c r="M24" s="48" t="n">
        <x:v>0.6977228738590519</x:v>
      </x:c>
    </x:row>
    <x:row r="25">
      <x:c r="A25" s="47" t="n">
        <x:v>46155.166666666664</x:v>
      </x:c>
      <x:c r="B25" s="46" t="n">
        <x:v>46155.375</x:v>
      </x:c>
      <x:c r="C25" s="42" t="str">
        <x:v>1</x:v>
      </x:c>
      <x:c r="D25" s="42" t="str">
        <x:v>Бот.сад</x:v>
      </x:c>
      <x:c r="E25" s="25" t="n">
        <x:v>5</x:v>
      </x:c>
      <x:c r="F25" s="25" t="n">
        <x:v>899</x:v>
      </x:c>
      <x:c r="G25" s="27" t="n">
        <x:v>47.6296</x:v>
      </x:c>
      <x:c r="H25" s="25" t="n">
        <x:f>F25*G25</x:f>
        <x:v>42819.01040000001</x:v>
      </x:c>
      <x:c r="I25" s="42" t="str">
        <x:v>last_week</x:v>
      </x:c>
      <x:c r="J25" s="41" t="n">
        <x:v>0.14413650532164027</x:v>
      </x:c>
      <x:c r="K25" s="42" t="str">
        <x:v>good</x:v>
      </x:c>
      <x:c r="L25" s="25" t="n">
        <x:v>194</x:v>
      </x:c>
      <x:c r="M25" s="48" t="n">
        <x:v>21.436464088397788</x:v>
      </x:c>
    </x:row>
    <x:row r="26">
      <x:c r="A26" s="47" t="n">
        <x:v>46148.208333333336</x:v>
      </x:c>
      <x:c r="B26" s="46" t="n">
        <x:v>46148.375</x:v>
      </x:c>
      <x:c r="C26" s="42" t="str">
        <x:v>12</x:v>
      </x:c>
      <x:c r="D26" s="42" t="str">
        <x:v>Ректорат</x:v>
      </x:c>
      <x:c r="E26" s="25" t="n">
        <x:v>4</x:v>
      </x:c>
      <x:c r="F26" s="25" t="n">
        <x:v>849.0553342298991</x:v>
      </x:c>
      <x:c r="G26" s="27" t="n">
        <x:v>47.6296</x:v>
      </x:c>
      <x:c r="H26" s="25" t="n">
        <x:f>F26*G26</x:f>
        <x:v>40440.165947236404</x:v>
      </x:c>
      <x:c r="I26" s="42" t="str">
        <x:v>weather_hour_of_week</x:v>
      </x:c>
      <x:c r="J26" s="41" t="n">
        <x:v>0.09818173736268047</x:v>
      </x:c>
      <x:c r="K26" s="42" t="str">
        <x:v>good</x:v>
      </x:c>
      <x:c r="L26" s="25" t="n">
        <x:v>239.6653397335961</x:v>
      </x:c>
      <x:c r="M26" s="48" t="n">
        <x:v>0.5195042999700004</x:v>
      </x:c>
    </x:row>
    <x:row r="27">
      <x:c r="A27" s="47" t="n">
        <x:v>46198.208333333336</x:v>
      </x:c>
      <x:c r="B27" s="46" t="n">
        <x:v>46198.333333333336</x:v>
      </x:c>
      <x:c r="C27" s="42" t="str">
        <x:v>11</x:v>
      </x:c>
      <x:c r="D27" s="42" t="str">
        <x:v>Мед.корпус-2</x:v>
      </x:c>
      <x:c r="E27" s="25" t="n">
        <x:v>3</x:v>
      </x:c>
      <x:c r="F27" s="25" t="n">
        <x:v>845.3460269689228</x:v>
      </x:c>
      <x:c r="G27" s="27" t="n">
        <x:v>47.6296</x:v>
      </x:c>
      <x:c r="H27" s="25" t="n">
        <x:f>F27*G27</x:f>
        <x:v>40263.49312611901</x:v>
      </x:c>
      <x:c r="I27" s="42" t="str">
        <x:v>weather_hour_of_week</x:v>
      </x:c>
      <x:c r="J27" s="41" t="n">
        <x:v>0.23735603000946734</x:v>
      </x:c>
      <x:c r="K27" s="42" t="str">
        <x:v>usable</x:v>
      </x:c>
      <x:c r="L27" s="25" t="n">
        <x:v>304.04708643253</x:v>
      </x:c>
      <x:c r="M27" s="48" t="n">
        <x:v>0.620906760873167</x:v>
      </x:c>
    </x:row>
    <x:row r="28">
      <x:c r="A28" s="47" t="n">
        <x:v>46201.291666666664</x:v>
      </x:c>
      <x:c r="B28" s="46" t="n">
        <x:v>46201.375</x:v>
      </x:c>
      <x:c r="C28" s="42" t="str">
        <x:v>7</x:v>
      </x:c>
      <x:c r="D28" s="42" t="str">
        <x:v>Население Л-4А</x:v>
      </x:c>
      <x:c r="E28" s="25" t="n">
        <x:v>2</x:v>
      </x:c>
      <x:c r="F28" s="25" t="n">
        <x:v>743</x:v>
      </x:c>
      <x:c r="G28" s="27" t="n">
        <x:v>47.6296</x:v>
      </x:c>
      <x:c r="H28" s="25" t="n">
        <x:f>F28*G28</x:f>
        <x:v>35388.7928</x:v>
      </x:c>
      <x:c r="I28" s="42" t="str">
        <x:v>last_week</x:v>
      </x:c>
      <x:c r="J28" s="41" t="n">
        <x:v>0.10937175824528782</x:v>
      </x:c>
      <x:c r="K28" s="42" t="str">
        <x:v>good</x:v>
      </x:c>
      <x:c r="L28" s="25" t="n">
        <x:v>372</x:v>
      </x:c>
      <x:c r="M28" s="48" t="n">
        <x:v>0.4412811387900356</x:v>
      </x:c>
    </x:row>
    <x:row r="29">
      <x:c r="A29" s="47" t="n">
        <x:v>46184.208333333336</x:v>
      </x:c>
      <x:c r="B29" s="46" t="n">
        <x:v>46184.333333333336</x:v>
      </x:c>
      <x:c r="C29" s="42" t="str">
        <x:v>11</x:v>
      </x:c>
      <x:c r="D29" s="42" t="str">
        <x:v>Мед.корпус-2</x:v>
      </x:c>
      <x:c r="E29" s="25" t="n">
        <x:v>3</x:v>
      </x:c>
      <x:c r="F29" s="25" t="n">
        <x:v>731.0832412856628</x:v>
      </x:c>
      <x:c r="G29" s="27" t="n">
        <x:v>47.6296</x:v>
      </x:c>
      <x:c r="H29" s="25" t="n">
        <x:f>F29*G29</x:f>
        <x:v>34821.2023491396</x:v>
      </x:c>
      <x:c r="I29" s="42" t="str">
        <x:v>weather_hour_of_week</x:v>
      </x:c>
      <x:c r="J29" s="41" t="n">
        <x:v>0.23735603000946734</x:v>
      </x:c>
      <x:c r="K29" s="42" t="str">
        <x:v>usable</x:v>
      </x:c>
      <x:c r="L29" s="25" t="n">
        <x:v>255.04708643253002</x:v>
      </x:c>
      <x:c r="M29" s="48" t="n">
        <x:v>0.5194939868657685</x:v>
      </x:c>
    </x:row>
    <x:row r="30">
      <x:c r="A30" s="47" t="n">
        <x:v>46158.208333333336</x:v>
      </x:c>
      <x:c r="B30" s="46" t="n">
        <x:v>46158.333333333336</x:v>
      </x:c>
      <x:c r="C30" s="42" t="str">
        <x:v>11</x:v>
      </x:c>
      <x:c r="D30" s="42" t="str">
        <x:v>Мед.корпус-2</x:v>
      </x:c>
      <x:c r="E30" s="25" t="n">
        <x:v>3</x:v>
      </x:c>
      <x:c r="F30" s="25" t="n">
        <x:v>709.2719747240544</x:v>
      </x:c>
      <x:c r="G30" s="27" t="n">
        <x:v>47.6296</x:v>
      </x:c>
      <x:c r="H30" s="25" t="n">
        <x:f>F30*G30</x:f>
        <x:v>33782.34044731683</x:v>
      </x:c>
      <x:c r="I30" s="42" t="str">
        <x:v>weather_hour_of_week</x:v>
      </x:c>
      <x:c r="J30" s="41" t="n">
        <x:v>0.23735603000946734</x:v>
      </x:c>
      <x:c r="K30" s="42" t="str">
        <x:v>usable</x:v>
      </x:c>
      <x:c r="L30" s="25" t="n">
        <x:v>239.38838250822712</x:v>
      </x:c>
      <x:c r="M30" s="48" t="n">
        <x:v>1.3939784620018414</x:v>
      </x:c>
    </x:row>
    <x:row r="31">
      <x:c r="A31" s="47" t="n">
        <x:v>46197.208333333336</x:v>
      </x:c>
      <x:c r="B31" s="46" t="n">
        <x:v>46197.375</x:v>
      </x:c>
      <x:c r="C31" s="42" t="str">
        <x:v>12</x:v>
      </x:c>
      <x:c r="D31" s="42" t="str">
        <x:v>Ректорат</x:v>
      </x:c>
      <x:c r="E31" s="25" t="n">
        <x:v>4</x:v>
      </x:c>
      <x:c r="F31" s="25" t="n">
        <x:v>705.1087838041957</x:v>
      </x:c>
      <x:c r="G31" s="27" t="n">
        <x:v>47.6296</x:v>
      </x:c>
      <x:c r="H31" s="25" t="n">
        <x:f>F31*G31</x:f>
        <x:v>33584.04932908032</x:v>
      </x:c>
      <x:c r="I31" s="42" t="str">
        <x:v>weather_hour_of_week</x:v>
      </x:c>
      <x:c r="J31" s="41" t="n">
        <x:v>0.09818173736268047</x:v>
      </x:c>
      <x:c r="K31" s="42" t="str">
        <x:v>good</x:v>
      </x:c>
      <x:c r="L31" s="25" t="n">
        <x:v>192.026135975765</x:v>
      </x:c>
      <x:c r="M31" s="48" t="n">
        <x:v>0.4523904054682488</x:v>
      </x:c>
    </x:row>
    <x:row r="32">
      <x:c r="A32" s="47" t="n">
        <x:v>46185.208333333336</x:v>
      </x:c>
      <x:c r="B32" s="46" t="n">
        <x:v>46185.291666666664</x:v>
      </x:c>
      <x:c r="C32" s="42" t="str">
        <x:v>11</x:v>
      </x:c>
      <x:c r="D32" s="42" t="str">
        <x:v>Мед.корпус-2</x:v>
      </x:c>
      <x:c r="E32" s="25" t="n">
        <x:v>2</x:v>
      </x:c>
      <x:c r="F32" s="25" t="n">
        <x:v>561.3368660628097</x:v>
      </x:c>
      <x:c r="G32" s="27" t="n">
        <x:v>47.6296</x:v>
      </x:c>
      <x:c r="H32" s="25" t="n">
        <x:f>F32*G32</x:f>
        <x:v>26736.250395825202</x:v>
      </x:c>
      <x:c r="I32" s="42" t="str">
        <x:v>weather_hour_of_week</x:v>
      </x:c>
      <x:c r="J32" s="41" t="n">
        <x:v>0.23735603000946734</x:v>
      </x:c>
      <x:c r="K32" s="42" t="str">
        <x:v>usable</x:v>
      </x:c>
      <x:c r="L32" s="25" t="n">
        <x:v>293.53041071435507</x:v>
      </x:c>
      <x:c r="M32" s="48" t="n">
        <x:v>0.6058799503745291</x:v>
      </x:c>
    </x:row>
    <x:row r="33">
      <x:c r="A33" s="47" t="n">
        <x:v>46182.333333333336</x:v>
      </x:c>
      <x:c r="B33" s="46" t="n">
        <x:v>46182.416666666664</x:v>
      </x:c>
      <x:c r="C33" s="42" t="str">
        <x:v>11</x:v>
      </x:c>
      <x:c r="D33" s="42" t="str">
        <x:v>Мед.корпус-2</x:v>
      </x:c>
      <x:c r="E33" s="25" t="n">
        <x:v>2</x:v>
      </x:c>
      <x:c r="F33" s="25" t="n">
        <x:v>548.2653476096341</x:v>
      </x:c>
      <x:c r="G33" s="27" t="n">
        <x:v>47.6296</x:v>
      </x:c>
      <x:c r="H33" s="25" t="n">
        <x:f>F33*G33</x:f>
        <x:v>26113.65920050783</x:v>
      </x:c>
      <x:c r="I33" s="42" t="str">
        <x:v>weather_hour_of_week</x:v>
      </x:c>
      <x:c r="J33" s="41" t="n">
        <x:v>0.23735603000946734</x:v>
      </x:c>
      <x:c r="K33" s="42" t="str">
        <x:v>usable</x:v>
      </x:c>
      <x:c r="L33" s="25" t="n">
        <x:v>294.3005832028432</x:v>
      </x:c>
      <x:c r="M33" s="48" t="n">
        <x:v>0.6239155121308964</x:v>
      </x:c>
    </x:row>
    <x:row r="34">
      <x:c r="A34" s="47" t="n">
        <x:v>46192.333333333336</x:v>
      </x:c>
      <x:c r="B34" s="46" t="n">
        <x:v>46192.458333333336</x:v>
      </x:c>
      <x:c r="C34" s="42" t="str">
        <x:v>12</x:v>
      </x:c>
      <x:c r="D34" s="42" t="str">
        <x:v>Ректорат</x:v>
      </x:c>
      <x:c r="E34" s="25" t="n">
        <x:v>3</x:v>
      </x:c>
      <x:c r="F34" s="25" t="n">
        <x:v>533.4043177658278</x:v>
      </x:c>
      <x:c r="G34" s="27" t="n">
        <x:v>47.6296</x:v>
      </x:c>
      <x:c r="H34" s="25" t="n">
        <x:f>F34*G34</x:f>
        <x:v>25405.834293459277</x:v>
      </x:c>
      <x:c r="I34" s="42" t="str">
        <x:v>weather_hour_of_week</x:v>
      </x:c>
      <x:c r="J34" s="41" t="n">
        <x:v>0.09818173736268047</x:v>
      </x:c>
      <x:c r="K34" s="42" t="str">
        <x:v>good</x:v>
      </x:c>
      <x:c r="L34" s="25" t="n">
        <x:v>194.0300614997708</x:v>
      </x:c>
      <x:c r="M34" s="48" t="n">
        <x:v>0.3489937999582882</x:v>
      </x:c>
    </x:row>
    <x:row r="35">
      <x:c r="A35" s="47" t="n">
        <x:v>46180.208333333336</x:v>
      </x:c>
      <x:c r="B35" s="46" t="n">
        <x:v>46180.291666666664</x:v>
      </x:c>
      <x:c r="C35" s="42" t="str">
        <x:v>11</x:v>
      </x:c>
      <x:c r="D35" s="42" t="str">
        <x:v>Мед.корпус-2</x:v>
      </x:c>
      <x:c r="E35" s="25" t="n">
        <x:v>2</x:v>
      </x:c>
      <x:c r="F35" s="25" t="n">
        <x:v>519.1584116285292</x:v>
      </x:c>
      <x:c r="G35" s="27" t="n">
        <x:v>47.6296</x:v>
      </x:c>
      <x:c r="H35" s="25" t="n">
        <x:f>F35*G35</x:f>
        <x:v>24727.307482502194</x:v>
      </x:c>
      <x:c r="I35" s="42" t="str">
        <x:v>weather_hour_of_week</x:v>
      </x:c>
      <x:c r="J35" s="41" t="n">
        <x:v>0.23735603000946734</x:v>
      </x:c>
      <x:c r="K35" s="42" t="str">
        <x:v>usable</x:v>
      </x:c>
      <x:c r="L35" s="25" t="n">
        <x:v>265.44588550643493</x:v>
      </x:c>
      <x:c r="M35" s="48" t="n">
        <x:v>1.8363080596938068</x:v>
      </x:c>
    </x:row>
    <x:row r="36">
      <x:c r="A36" s="47" t="n">
        <x:v>46198.166666666664</x:v>
      </x:c>
      <x:c r="B36" s="46" t="n">
        <x:v>46198.291666666664</x:v>
      </x:c>
      <x:c r="C36" s="42" t="str">
        <x:v>12</x:v>
      </x:c>
      <x:c r="D36" s="42" t="str">
        <x:v>Ректорат</x:v>
      </x:c>
      <x:c r="E36" s="25" t="n">
        <x:v>3</x:v>
      </x:c>
      <x:c r="F36" s="25" t="n">
        <x:v>513.843602105615</x:v>
      </x:c>
      <x:c r="G36" s="27" t="n">
        <x:v>47.6296</x:v>
      </x:c>
      <x:c r="H36" s="25" t="n">
        <x:f>F36*G36</x:f>
        <x:v>24474.1652308496</x:v>
      </x:c>
      <x:c r="I36" s="42" t="str">
        <x:v>weather_hour_of_week</x:v>
      </x:c>
      <x:c r="J36" s="41" t="n">
        <x:v>0.09818173736268047</x:v>
      </x:c>
      <x:c r="K36" s="42" t="str">
        <x:v>good</x:v>
      </x:c>
      <x:c r="L36" s="25" t="n">
        <x:v>204.68110174999532</x:v>
      </x:c>
      <x:c r="M36" s="48" t="n">
        <x:v>0.47898911699956176</x:v>
      </x:c>
    </x:row>
    <x:row r="37">
      <x:c r="A37" s="47" t="n">
        <x:v>46165.625</x:v>
      </x:c>
      <x:c r="B37" s="46" t="n">
        <x:v>46165.833333333336</x:v>
      </x:c>
      <x:c r="C37" s="42" t="str">
        <x:v>1</x:v>
      </x:c>
      <x:c r="D37" s="42" t="str">
        <x:v>Бот.сад</x:v>
      </x:c>
      <x:c r="E37" s="25" t="n">
        <x:v>5</x:v>
      </x:c>
      <x:c r="F37" s="25" t="n">
        <x:v>467</x:v>
      </x:c>
      <x:c r="G37" s="27" t="n">
        <x:v>47.6296</x:v>
      </x:c>
      <x:c r="H37" s="25" t="n">
        <x:f>F37*G37</x:f>
        <x:v>22243.023200000003</x:v>
      </x:c>
      <x:c r="I37" s="42" t="str">
        <x:v>last_week</x:v>
      </x:c>
      <x:c r="J37" s="41" t="n">
        <x:v>0.14413650532164027</x:v>
      </x:c>
      <x:c r="K37" s="42" t="str">
        <x:v>good</x:v>
      </x:c>
      <x:c r="L37" s="25" t="n">
        <x:v>98</x:v>
      </x:c>
      <x:c r="M37" s="48" t="n">
        <x:v>0.8151260504201681</x:v>
      </x:c>
    </x:row>
    <x:row r="38">
      <x:c r="A38" s="47" t="n">
        <x:v>46164.708333333336</x:v>
      </x:c>
      <x:c r="B38" s="46" t="n">
        <x:v>46164.916666666664</x:v>
      </x:c>
      <x:c r="C38" s="42" t="str">
        <x:v>1</x:v>
      </x:c>
      <x:c r="D38" s="42" t="str">
        <x:v>Бот.сад</x:v>
      </x:c>
      <x:c r="E38" s="25" t="n">
        <x:v>5</x:v>
      </x:c>
      <x:c r="F38" s="25" t="n">
        <x:v>462</x:v>
      </x:c>
      <x:c r="G38" s="27" t="n">
        <x:v>47.6296</x:v>
      </x:c>
      <x:c r="H38" s="25" t="n">
        <x:f>F38*G38</x:f>
        <x:v>22004.875200000002</x:v>
      </x:c>
      <x:c r="I38" s="42" t="str">
        <x:v>last_week</x:v>
      </x:c>
      <x:c r="J38" s="41" t="n">
        <x:v>0.14413650532164027</x:v>
      </x:c>
      <x:c r="K38" s="42" t="str">
        <x:v>good</x:v>
      </x:c>
      <x:c r="L38" s="25" t="n">
        <x:v>105</x:v>
      </x:c>
      <x:c r="M38" s="48" t="n">
        <x:v>0.9210526315789473</x:v>
      </x:c>
    </x:row>
    <x:row r="39">
      <x:c r="A39" s="47" t="n">
        <x:v>46189.166666666664</x:v>
      </x:c>
      <x:c r="B39" s="46" t="n">
        <x:v>46189.291666666664</x:v>
      </x:c>
      <x:c r="C39" s="42" t="str">
        <x:v>12</x:v>
      </x:c>
      <x:c r="D39" s="42" t="str">
        <x:v>Ректорат</x:v>
      </x:c>
      <x:c r="E39" s="25" t="n">
        <x:v>3</x:v>
      </x:c>
      <x:c r="F39" s="25" t="n">
        <x:v>458.02583873825984</x:v>
      </x:c>
      <x:c r="G39" s="27" t="n">
        <x:v>47.6296</x:v>
      </x:c>
      <x:c r="H39" s="25" t="n">
        <x:f>F39*G39</x:f>
        <x:v>21815.587488767822</x:v>
      </x:c>
      <x:c r="I39" s="42" t="str">
        <x:v>weather_hour_of_week</x:v>
      </x:c>
      <x:c r="J39" s="41" t="n">
        <x:v>0.09818173736268047</x:v>
      </x:c>
      <x:c r="K39" s="42" t="str">
        <x:v>good</x:v>
      </x:c>
      <x:c r="L39" s="25" t="n">
        <x:v>175.93514457585667</x:v>
      </x:c>
      <x:c r="M39" s="48" t="n">
        <x:v>0.3774906915385124</x:v>
      </x:c>
    </x:row>
    <x:row r="40">
      <x:c r="A40" s="47" t="n">
        <x:v>46183.208333333336</x:v>
      </x:c>
      <x:c r="B40" s="46" t="n">
        <x:v>46183.291666666664</x:v>
      </x:c>
      <x:c r="C40" s="42" t="str">
        <x:v>11</x:v>
      </x:c>
      <x:c r="D40" s="42" t="str">
        <x:v>Мед.корпус-2</x:v>
      </x:c>
      <x:c r="E40" s="25" t="n">
        <x:v>2</x:v>
      </x:c>
      <x:c r="F40" s="25" t="n">
        <x:v>452.018405400975</x:v>
      </x:c>
      <x:c r="G40" s="27" t="n">
        <x:v>47.6296</x:v>
      </x:c>
      <x:c r="H40" s="25" t="n">
        <x:f>F40*G40</x:f>
        <x:v>21529.45584188628</x:v>
      </x:c>
      <x:c r="I40" s="42" t="str">
        <x:v>weather_hour_of_week</x:v>
      </x:c>
      <x:c r="J40" s="41" t="n">
        <x:v>0.23735603000946734</x:v>
      </x:c>
      <x:c r="K40" s="42" t="str">
        <x:v>usable</x:v>
      </x:c>
      <x:c r="L40" s="25" t="n">
        <x:v>227.54764574835525</x:v>
      </x:c>
      <x:c r="M40" s="48" t="n">
        <x:v>0.484708711517891</x:v>
      </x:c>
    </x:row>
    <x:row r="41">
      <x:c r="A41" s="47" t="n">
        <x:v>46179.25</x:v>
      </x:c>
      <x:c r="B41" s="46" t="n">
        <x:v>46179.333333333336</x:v>
      </x:c>
      <x:c r="C41" s="42" t="str">
        <x:v>11</x:v>
      </x:c>
      <x:c r="D41" s="42" t="str">
        <x:v>Мед.корпус-2</x:v>
      </x:c>
      <x:c r="E41" s="25" t="n">
        <x:v>2</x:v>
      </x:c>
      <x:c r="F41" s="25" t="n">
        <x:v>445.49754458988514</x:v>
      </x:c>
      <x:c r="G41" s="27" t="n">
        <x:v>47.6296</x:v>
      </x:c>
      <x:c r="H41" s="25" t="n">
        <x:f>F41*G41</x:f>
        <x:v>21218.869849798393</x:v>
      </x:c>
      <x:c r="I41" s="42" t="str">
        <x:v>weather_hour_of_week</x:v>
      </x:c>
      <x:c r="J41" s="41" t="n">
        <x:v>0.23735603000946734</x:v>
      </x:c>
      <x:c r="K41" s="42" t="str">
        <x:v>usable</x:v>
      </x:c>
      <x:c r="L41" s="25" t="n">
        <x:v>223.7163289347822</x:v>
      </x:c>
      <x:c r="M41" s="48" t="n">
        <x:v>1.2877876039988105</x:v>
      </x:c>
    </x:row>
    <x:row r="42">
      <x:c r="A42" s="47" t="n">
        <x:v>46152.291666666664</x:v>
      </x:c>
      <x:c r="B42" s="46" t="n">
        <x:v>46152.375</x:v>
      </x:c>
      <x:c r="C42" s="42" t="str">
        <x:v>11</x:v>
      </x:c>
      <x:c r="D42" s="42" t="str">
        <x:v>Мед.корпус-2</x:v>
      </x:c>
      <x:c r="E42" s="25" t="n">
        <x:v>2</x:v>
      </x:c>
      <x:c r="F42" s="25" t="n">
        <x:v>444.13794034764464</x:v>
      </x:c>
      <x:c r="G42" s="27" t="n">
        <x:v>47.6296</x:v>
      </x:c>
      <x:c r="H42" s="25" t="n">
        <x:f>F42*G42</x:f>
        <x:v>21154.112443582177</x:v>
      </x:c>
      <x:c r="I42" s="42" t="str">
        <x:v>weather_hour_of_week</x:v>
      </x:c>
      <x:c r="J42" s="41" t="n">
        <x:v>0.23735603000946734</x:v>
      </x:c>
      <x:c r="K42" s="42" t="str">
        <x:v>usable</x:v>
      </x:c>
      <x:c r="L42" s="25" t="n">
        <x:v>223.93283988148684</x:v>
      </x:c>
      <x:c r="M42" s="48" t="n">
        <x:v>1.7350102045777198</x:v>
      </x:c>
    </x:row>
    <x:row r="43">
      <x:c r="A43" s="47" t="n">
        <x:v>46164.416666666664</x:v>
      </x:c>
      <x:c r="B43" s="46" t="n">
        <x:v>46164.583333333336</x:v>
      </x:c>
      <x:c r="C43" s="42" t="str">
        <x:v>1</x:v>
      </x:c>
      <x:c r="D43" s="42" t="str">
        <x:v>Бот.сад</x:v>
      </x:c>
      <x:c r="E43" s="25" t="n">
        <x:v>4</x:v>
      </x:c>
      <x:c r="F43" s="25" t="n">
        <x:v>427</x:v>
      </x:c>
      <x:c r="G43" s="27" t="n">
        <x:v>47.6296</x:v>
      </x:c>
      <x:c r="H43" s="25" t="n">
        <x:f>F43*G43</x:f>
        <x:v>20337.839200000002</x:v>
      </x:c>
      <x:c r="I43" s="42" t="str">
        <x:v>last_week</x:v>
      </x:c>
      <x:c r="J43" s="41" t="n">
        <x:v>0.14413650532164027</x:v>
      </x:c>
      <x:c r="K43" s="42" t="str">
        <x:v>good</x:v>
      </x:c>
      <x:c r="L43" s="25" t="n">
        <x:v>114</x:v>
      </x:c>
      <x:c r="M43" s="48" t="n">
        <x:v>0.8636363636363636</x:v>
      </x:c>
    </x:row>
    <x:row r="44">
      <x:c r="A44" s="47" t="n">
        <x:v>46184.166666666664</x:v>
      </x:c>
      <x:c r="B44" s="46" t="n">
        <x:v>46184.291666666664</x:v>
      </x:c>
      <x:c r="C44" s="42" t="str">
        <x:v>12</x:v>
      </x:c>
      <x:c r="D44" s="42" t="str">
        <x:v>Ректорат</x:v>
      </x:c>
      <x:c r="E44" s="25" t="n">
        <x:v>3</x:v>
      </x:c>
      <x:c r="F44" s="25" t="n">
        <x:v>406.84360210561505</x:v>
      </x:c>
      <x:c r="G44" s="27" t="n">
        <x:v>47.6296</x:v>
      </x:c>
      <x:c r="H44" s="25" t="n">
        <x:f>F44*G44</x:f>
        <x:v>19377.798030849604</x:v>
      </x:c>
      <x:c r="I44" s="42" t="str">
        <x:v>weather_hour_of_week</x:v>
      </x:c>
      <x:c r="J44" s="41" t="n">
        <x:v>0.09818173736268047</x:v>
      </x:c>
      <x:c r="K44" s="42" t="str">
        <x:v>good</x:v>
      </x:c>
      <x:c r="L44" s="25" t="n">
        <x:v>143.68110174999532</x:v>
      </x:c>
      <x:c r="M44" s="48" t="n">
        <x:v>0.38439183273623656</x:v>
      </x:c>
    </x:row>
    <x:row r="45">
      <x:c r="A45" s="47" t="n">
        <x:v>46203.208333333336</x:v>
      </x:c>
      <x:c r="B45" s="46" t="n">
        <x:v>46203.291666666664</x:v>
      </x:c>
      <x:c r="C45" s="42" t="str">
        <x:v>12</x:v>
      </x:c>
      <x:c r="D45" s="42" t="str">
        <x:v>Ректорат</x:v>
      </x:c>
      <x:c r="E45" s="25" t="n">
        <x:v>2</x:v>
      </x:c>
      <x:c r="F45" s="25" t="n">
        <x:v>387.1061256881524</x:v>
      </x:c>
      <x:c r="G45" s="27" t="n">
        <x:v>47.6296</x:v>
      </x:c>
      <x:c r="H45" s="25" t="n">
        <x:f>F45*G45</x:f>
        <x:v>18437.709924076426</x:v>
      </x:c>
      <x:c r="I45" s="42" t="str">
        <x:v>weather_hour_of_week</x:v>
      </x:c>
      <x:c r="J45" s="41" t="n">
        <x:v>0.09818173736268047</x:v>
      </x:c>
      <x:c r="K45" s="42" t="str">
        <x:v>good</x:v>
      </x:c>
      <x:c r="L45" s="25" t="n">
        <x:v>220.8661873338678</x:v>
      </x:c>
      <x:c r="M45" s="48" t="n">
        <x:v>0.5087514054191479</x:v>
      </x:c>
    </x:row>
    <x:row r="46">
      <x:c r="A46" s="47" t="n">
        <x:v>46181.208333333336</x:v>
      </x:c>
      <x:c r="B46" s="46" t="n">
        <x:v>46181.291666666664</x:v>
      </x:c>
      <x:c r="C46" s="42" t="str">
        <x:v>12</x:v>
      </x:c>
      <x:c r="D46" s="42" t="str">
        <x:v>Ректорат</x:v>
      </x:c>
      <x:c r="E46" s="25" t="n">
        <x:v>2</x:v>
      </x:c>
      <x:c r="F46" s="25" t="n">
        <x:v>365.9820108201966</x:v>
      </x:c>
      <x:c r="G46" s="27" t="n">
        <x:v>47.6296</x:v>
      </x:c>
      <x:c r="H46" s="25" t="n">
        <x:f>F46*G46</x:f>
        <x:v>17431.57678256164</x:v>
      </x:c>
      <x:c r="I46" s="42" t="str">
        <x:v>weather_hour_of_week</x:v>
      </x:c>
      <x:c r="J46" s="41" t="n">
        <x:v>0.09818173736268047</x:v>
      </x:c>
      <x:c r="K46" s="42" t="str">
        <x:v>good</x:v>
      </x:c>
      <x:c r="L46" s="25" t="n">
        <x:v>188.37607978677931</x:v>
      </x:c>
      <x:c r="M46" s="48" t="n">
        <x:v>0.42756010329002836</x:v>
      </x:c>
    </x:row>
    <x:row r="47">
      <x:c r="A47" s="47" t="n">
        <x:v>46195.208333333336</x:v>
      </x:c>
      <x:c r="B47" s="46" t="n">
        <x:v>46195.291666666664</x:v>
      </x:c>
      <x:c r="C47" s="42" t="str">
        <x:v>12</x:v>
      </x:c>
      <x:c r="D47" s="42" t="str">
        <x:v>Ректорат</x:v>
      </x:c>
      <x:c r="E47" s="25" t="n">
        <x:v>2</x:v>
      </x:c>
      <x:c r="F47" s="25" t="n">
        <x:v>338.6846593208834</x:v>
      </x:c>
      <x:c r="G47" s="27" t="n">
        <x:v>47.6296</x:v>
      </x:c>
      <x:c r="H47" s="25" t="n">
        <x:f>F47*G47</x:f>
        <x:v>16131.414849589948</x:v>
      </x:c>
      <x:c r="I47" s="42" t="str">
        <x:v>weather_hour_of_week</x:v>
      </x:c>
      <x:c r="J47" s="41" t="n">
        <x:v>0.09818173736268047</x:v>
      </x:c>
      <x:c r="K47" s="42" t="str">
        <x:v>good</x:v>
      </x:c>
      <x:c r="L47" s="25" t="n">
        <x:v>184.48053241322646</x:v>
      </x:c>
      <x:c r="M47" s="48" t="n">
        <x:v>0.4178310266171214</x:v>
      </x:c>
    </x:row>
    <x:row r="48">
      <x:c r="A48" s="47" t="n">
        <x:v>46188.208333333336</x:v>
      </x:c>
      <x:c r="B48" s="46" t="n">
        <x:v>46188.291666666664</x:v>
      </x:c>
      <x:c r="C48" s="42" t="str">
        <x:v>12</x:v>
      </x:c>
      <x:c r="D48" s="42" t="str">
        <x:v>Ректорат</x:v>
      </x:c>
      <x:c r="E48" s="25" t="n">
        <x:v>2</x:v>
      </x:c>
      <x:c r="F48" s="25" t="n">
        <x:v>338.25053161951047</x:v>
      </x:c>
      <x:c r="G48" s="27" t="n">
        <x:v>47.6296</x:v>
      </x:c>
      <x:c r="H48" s="25" t="n">
        <x:f>F48*G48</x:f>
        <x:v>16110.737520824638</x:v>
      </x:c>
      <x:c r="I48" s="42" t="str">
        <x:v>weather_hour_of_week</x:v>
      </x:c>
      <x:c r="J48" s="41" t="n">
        <x:v>0.09818173736268047</x:v>
      </x:c>
      <x:c r="K48" s="42" t="str">
        <x:v>good</x:v>
      </x:c>
      <x:c r="L48" s="25" t="n">
        <x:v>184.0635999997658</x:v>
      </x:c>
      <x:c r="M48" s="48" t="n">
        <x:v>0.40106559427335003</x:v>
      </x:c>
    </x:row>
    <x:row r="49">
      <x:c r="A49" s="47" t="n">
        <x:v>46185.208333333336</x:v>
      </x:c>
      <x:c r="B49" s="46" t="n">
        <x:v>46185.291666666664</x:v>
      </x:c>
      <x:c r="C49" s="42" t="str">
        <x:v>12</x:v>
      </x:c>
      <x:c r="D49" s="42" t="str">
        <x:v>Ректорат</x:v>
      </x:c>
      <x:c r="E49" s="25" t="n">
        <x:v>2</x:v>
      </x:c>
      <x:c r="F49" s="25" t="n">
        <x:v>324.4359670349771</x:v>
      </x:c>
      <x:c r="G49" s="27" t="n">
        <x:v>47.6296</x:v>
      </x:c>
      <x:c r="H49" s="25" t="n">
        <x:f>F49*G49</x:f>
        <x:v>15452.755335489148</x:v>
      </x:c>
      <x:c r="I49" s="42" t="str">
        <x:v>weather_hour_of_week</x:v>
      </x:c>
      <x:c r="J49" s="41" t="n">
        <x:v>0.09818173736268047</x:v>
      </x:c>
      <x:c r="K49" s="42" t="str">
        <x:v>good</x:v>
      </x:c>
      <x:c r="L49" s="25" t="n">
        <x:v>167.14711568684515</x:v>
      </x:c>
      <x:c r="M49" s="48" t="n">
        <x:v>0.3668877094583265</x:v>
      </x:c>
    </x:row>
    <x:row r="50">
      <x:c r="A50" s="47" t="n">
        <x:v>46176.208333333336</x:v>
      </x:c>
      <x:c r="B50" s="46" t="n">
        <x:v>46176.291666666664</x:v>
      </x:c>
      <x:c r="C50" s="42" t="str">
        <x:v>12</x:v>
      </x:c>
      <x:c r="D50" s="42" t="str">
        <x:v>Ректорат</x:v>
      </x:c>
      <x:c r="E50" s="25" t="n">
        <x:v>2</x:v>
      </x:c>
      <x:c r="F50" s="25" t="n">
        <x:v>291.04606489276864</x:v>
      </x:c>
      <x:c r="G50" s="27" t="n">
        <x:v>47.6296</x:v>
      </x:c>
      <x:c r="H50" s="25" t="n">
        <x:f>F50*G50</x:f>
        <x:v>13862.407652416614</x:v>
      </x:c>
      <x:c r="I50" s="42" t="str">
        <x:v>weather_hour_of_week</x:v>
      </x:c>
      <x:c r="J50" s="41" t="n">
        <x:v>0.09818173736268047</x:v>
      </x:c>
      <x:c r="K50" s="42" t="str">
        <x:v>good</x:v>
      </x:c>
      <x:c r="L50" s="25" t="n">
        <x:v>147.00273362909144</x:v>
      </x:c>
      <x:c r="M50" s="48" t="n">
        <x:v>0.3500087867221264</x:v>
      </x:c>
    </x:row>
    <x:row r="51">
      <x:c r="A51" s="47" t="n">
        <x:v>46196.166666666664</x:v>
      </x:c>
      <x:c r="B51" s="46" t="n">
        <x:v>46196.25</x:v>
      </x:c>
      <x:c r="C51" s="42" t="str">
        <x:v>12</x:v>
      </x:c>
      <x:c r="D51" s="42" t="str">
        <x:v>Ректорат</x:v>
      </x:c>
      <x:c r="E51" s="25" t="n">
        <x:v>2</x:v>
      </x:c>
      <x:c r="F51" s="25" t="n">
        <x:v>272.0954243509128</x:v>
      </x:c>
      <x:c r="G51" s="27" t="n">
        <x:v>47.6296</x:v>
      </x:c>
      <x:c r="H51" s="25" t="n">
        <x:f>F51*G51</x:f>
        <x:v>12959.796223664238</x:v>
      </x:c>
      <x:c r="I51" s="42" t="str">
        <x:v>weather_hour_of_week</x:v>
      </x:c>
      <x:c r="J51" s="41" t="n">
        <x:v>0.09818173736268047</x:v>
      </x:c>
      <x:c r="K51" s="42" t="str">
        <x:v>good</x:v>
      </x:c>
      <x:c r="L51" s="25" t="n">
        <x:v>139.29563561111536</x:v>
      </x:c>
      <x:c r="M51" s="48" t="n">
        <x:v>0.3456525656355191</x:v>
      </x:c>
    </x:row>
    <x:row r="52">
      <x:c r="A52" s="47" t="n">
        <x:v>46186.375</x:v>
      </x:c>
      <x:c r="B52" s="46" t="n">
        <x:v>46186.458333333336</x:v>
      </x:c>
      <x:c r="C52" s="42" t="str">
        <x:v>1</x:v>
      </x:c>
      <x:c r="D52" s="42" t="str">
        <x:v>Бот.сад</x:v>
      </x:c>
      <x:c r="E52" s="25" t="n">
        <x:v>2</x:v>
      </x:c>
      <x:c r="F52" s="25" t="n">
        <x:v>204</x:v>
      </x:c>
      <x:c r="G52" s="27" t="n">
        <x:v>47.6296</x:v>
      </x:c>
      <x:c r="H52" s="25" t="n">
        <x:f>F52*G52</x:f>
        <x:v>9716.438400000001</x:v>
      </x:c>
      <x:c r="I52" s="42" t="str">
        <x:v>last_week</x:v>
      </x:c>
      <x:c r="J52" s="41" t="n">
        <x:v>0.14413650532164027</x:v>
      </x:c>
      <x:c r="K52" s="42" t="str">
        <x:v>good</x:v>
      </x:c>
      <x:c r="L52" s="25" t="n">
        <x:v>106</x:v>
      </x:c>
      <x:c r="M52" s="48" t="n">
        <x:v>0.7794117647058824</x:v>
      </x:c>
    </x:row>
    <x:row r="53">
      <x:c r="A53" s="47" t="n">
        <x:v>46161.375</x:v>
      </x:c>
      <x:c r="B53" s="46" t="n">
        <x:v>46161.458333333336</x:v>
      </x:c>
      <x:c r="C53" s="42" t="str">
        <x:v>1</x:v>
      </x:c>
      <x:c r="D53" s="42" t="str">
        <x:v>Бот.сад</x:v>
      </x:c>
      <x:c r="E53" s="25" t="n">
        <x:v>2</x:v>
      </x:c>
      <x:c r="F53" s="25" t="n">
        <x:v>201</x:v>
      </x:c>
      <x:c r="G53" s="27" t="n">
        <x:v>47.6296</x:v>
      </x:c>
      <x:c r="H53" s="25" t="n">
        <x:f>F53*G53</x:f>
        <x:v>9573.5496</x:v>
      </x:c>
      <x:c r="I53" s="42" t="str">
        <x:v>last_week</x:v>
      </x:c>
      <x:c r="J53" s="41" t="n">
        <x:v>0.14413650532164027</x:v>
      </x:c>
      <x:c r="K53" s="42" t="str">
        <x:v>good</x:v>
      </x:c>
      <x:c r="L53" s="25" t="n">
        <x:v>108</x:v>
      </x:c>
      <x:c r="M53" s="48" t="n">
        <x:v>0.6625766871165644</x:v>
      </x:c>
    </x:row>
    <x:row r="54">
      <x:c r="A54" s="47" t="n">
        <x:v>46176.25</x:v>
      </x:c>
      <x:c r="B54" s="46" t="n">
        <x:v>46176.333333333336</x:v>
      </x:c>
      <x:c r="C54" s="42" t="str">
        <x:v>1</x:v>
      </x:c>
      <x:c r="D54" s="42" t="str">
        <x:v>Бот.сад</x:v>
      </x:c>
      <x:c r="E54" s="25" t="n">
        <x:v>2</x:v>
      </x:c>
      <x:c r="F54" s="25" t="n">
        <x:v>197</x:v>
      </x:c>
      <x:c r="G54" s="27" t="n">
        <x:v>47.6296</x:v>
      </x:c>
      <x:c r="H54" s="25" t="n">
        <x:f>F54*G54</x:f>
        <x:v>9383.031200000001</x:v>
      </x:c>
      <x:c r="I54" s="42" t="str">
        <x:v>last_week</x:v>
      </x:c>
      <x:c r="J54" s="41" t="n">
        <x:v>0.14413650532164027</x:v>
      </x:c>
      <x:c r="K54" s="42" t="str">
        <x:v>good</x:v>
      </x:c>
      <x:c r="L54" s="25" t="n">
        <x:v>100</x:v>
      </x:c>
      <x:c r="M54" s="48" t="n">
        <x:v>0.5405405405405406</x:v>
      </x:c>
    </x:row>
    <x:row r="55">
      <x:c r="A55" s="47" t="n">
        <x:v>46163.208333333336</x:v>
      </x:c>
      <x:c r="B55" s="46" t="n">
        <x:v>46163.291666666664</x:v>
      </x:c>
      <x:c r="C55" s="42" t="str">
        <x:v>1</x:v>
      </x:c>
      <x:c r="D55" s="42" t="str">
        <x:v>Бот.сад</x:v>
      </x:c>
      <x:c r="E55" s="25" t="n">
        <x:v>2</x:v>
      </x:c>
      <x:c r="F55" s="25" t="n">
        <x:v>187</x:v>
      </x:c>
      <x:c r="G55" s="27" t="n">
        <x:v>47.6296</x:v>
      </x:c>
      <x:c r="H55" s="25" t="n">
        <x:f>F55*G55</x:f>
        <x:v>8906.735200000001</x:v>
      </x:c>
      <x:c r="I55" s="42" t="str">
        <x:v>last_week</x:v>
      </x:c>
      <x:c r="J55" s="41" t="n">
        <x:v>0.14413650532164027</x:v>
      </x:c>
      <x:c r="K55" s="42" t="str">
        <x:v>good</x:v>
      </x:c>
      <x:c r="L55" s="25" t="n">
        <x:v>96</x:v>
      </x:c>
      <x:c r="M55" s="48" t="n">
        <x:v>0.6274509803921569</x:v>
      </x:c>
    </x:row>
    <x:row r="56">
      <x:c r="A56" s="47" t="n">
        <x:v>46163.416666666664</x:v>
      </x:c>
      <x:c r="B56" s="46" t="n">
        <x:v>46163.5</x:v>
      </x:c>
      <x:c r="C56" s="42" t="str">
        <x:v>1</x:v>
      </x:c>
      <x:c r="D56" s="42" t="str">
        <x:v>Бот.сад</x:v>
      </x:c>
      <x:c r="E56" s="25" t="n">
        <x:v>2</x:v>
      </x:c>
      <x:c r="F56" s="25" t="n">
        <x:v>186</x:v>
      </x:c>
      <x:c r="G56" s="27" t="n">
        <x:v>47.6296</x:v>
      </x:c>
      <x:c r="H56" s="25" t="n">
        <x:f>F56*G56</x:f>
        <x:v>8859.1056</x:v>
      </x:c>
      <x:c r="I56" s="42" t="str">
        <x:v>last_week</x:v>
      </x:c>
      <x:c r="J56" s="41" t="n">
        <x:v>0.14413650532164027</x:v>
      </x:c>
      <x:c r="K56" s="42" t="str">
        <x:v>good</x:v>
      </x:c>
      <x:c r="L56" s="25" t="n">
        <x:v>99</x:v>
      </x:c>
      <x:c r="M56" s="48" t="n">
        <x:v>0.7122302158273381</x:v>
      </x:c>
    </x:row>
    <x:row r="57">
      <x:c r="A57" s="34" t="str">
        <x:v>Total</x:v>
      </x:c>
      <x:c r="B57" s="44"/>
      <x:c r="C57" s="44"/>
      <x:c r="D57" s="44"/>
      <x:c r="E57" s="35" t="n">
        <x:f>COUNTA(A5:A56)</x:f>
        <x:v>52</x:v>
      </x:c>
      <x:c r="F57" s="35" t="n">
        <x:f>SUM(F5:F56)</x:f>
        <x:v>71495.96339328392</x:v>
      </x:c>
      <x:c r="G57" s="44"/>
      <x:c r="H57" s="35" t="n">
        <x:f>SUM(H5:H56)</x:f>
        <x:v>3405324.1380367544</x:v>
      </x:c>
      <x:c r="I57" s="44"/>
      <x:c r="J57" s="44"/>
      <x:c r="K57" s="44"/>
      <x:c r="L57" s="44"/>
      <x:c r="M57" s="45"/>
    </x:row>
  </x:sheetData>
  <x:mergeCells>
    <x:mergeCell ref="A1:M1"/>
    <x:mergeCell ref="A2:M2"/>
  </x:mergeCells>
  <x:conditionalFormatting sqref="K5:K56">
    <x:cfRule type="containsText" dxfId="5" priority="1" operator="containsText" text="good"/>
    <x:cfRule type="containsText" dxfId="6" priority="2" operator="containsText" text="usabl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4" t="str">
        <x:v>Baseline validation metrics</x:v>
      </x:c>
      <x:c r="B1" s="4" t="str">
        <x:v>Baseline validation metrics</x:v>
      </x:c>
      <x:c r="C1" s="4" t="str">
        <x:v>Baseline validation metrics</x:v>
      </x:c>
      <x:c r="D1" s="4" t="str">
        <x:v>Baseline validation metrics</x:v>
      </x:c>
      <x:c r="E1" s="4" t="str">
        <x:v>Baseline validation metrics</x:v>
      </x:c>
      <x:c r="F1" s="4" t="str">
        <x:v>Baseline validation metrics</x:v>
      </x:c>
      <x:c r="G1" s="4" t="str">
        <x:v>Baseline validation metrics</x:v>
      </x:c>
      <x:c r="H1" s="4" t="str">
        <x:v>Baseline validation metrics</x:v>
      </x:c>
    </x:row>
    <x:row r="2">
      <x:c r="A2" s="7" t="str">
        <x:v>Validation: final 8 weeks. Good ≤15% wMAPE; usable 15–25%; weak &gt;25%. Best model is selected per meter before event detection.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29" t="str">
        <x:v>Load</x:v>
      </x:c>
      <x:c r="B4" s="30" t="str">
        <x:v>Model</x:v>
      </x:c>
      <x:c r="C4" s="30" t="str">
        <x:v>Observations</x:v>
      </x:c>
      <x:c r="D4" s="30" t="str">
        <x:v>MAE (kWh)</x:v>
      </x:c>
      <x:c r="E4" s="30" t="str">
        <x:v>RMSE (kWh)</x:v>
      </x:c>
      <x:c r="F4" s="30" t="str">
        <x:v>wMAPE</x:v>
      </x:c>
      <x:c r="G4" s="30" t="str">
        <x:v>Bias</x:v>
      </x:c>
      <x:c r="H4" s="31" t="str">
        <x:v>Selected</x:v>
      </x:c>
    </x:row>
    <x:row r="5">
      <x:c r="A5" s="32" t="str">
        <x:v>Бот.сад</x:v>
      </x:c>
      <x:c r="B5" s="42" t="str">
        <x:v>last_week</x:v>
      </x:c>
      <x:c r="C5" s="49" t="n">
        <x:v>1344</x:v>
      </x:c>
      <x:c r="D5" s="49" t="n">
        <x:v>26.561011904761905</x:v>
      </x:c>
      <x:c r="E5" s="49" t="n">
        <x:v>37.3324231925624</x:v>
      </x:c>
      <x:c r="F5" s="41" t="n">
        <x:v>0.14413650532164027</x:v>
      </x:c>
      <x:c r="G5" s="41" t="n">
        <x:v>-0.03526495146728685</x:v>
      </x:c>
      <x:c r="H5" s="43" t="str">
        <x:v>YES</x:v>
      </x:c>
    </x:row>
    <x:row r="6">
      <x:c r="A6" s="32" t="str">
        <x:v>Бот.сад</x:v>
      </x:c>
      <x:c r="B6" s="42" t="str">
        <x:v>median_previous_4_weeks</x:v>
      </x:c>
      <x:c r="C6" s="49" t="n">
        <x:v>1344</x:v>
      </x:c>
      <x:c r="D6" s="49" t="n">
        <x:v>32.744791666666664</x:v>
      </x:c>
      <x:c r="E6" s="49" t="n">
        <x:v>42.22000291133734</x:v>
      </x:c>
      <x:c r="F6" s="41" t="n">
        <x:v>0.17769352520309448</x:v>
      </x:c>
      <x:c r="G6" s="41" t="n">
        <x:v>-0.08942616728846682</x:v>
      </x:c>
      <x:c r="H6" s="43" t="str"/>
    </x:row>
    <x:row r="7">
      <x:c r="A7" s="32" t="str">
        <x:v>Бот.сад</x:v>
      </x:c>
      <x:c r="B7" s="42" t="str">
        <x:v>weather_hour_of_week_ridge</x:v>
      </x:c>
      <x:c r="C7" s="49" t="n">
        <x:v>1344</x:v>
      </x:c>
      <x:c r="D7" s="49" t="n">
        <x:v>31.808734403171723</x:v>
      </x:c>
      <x:c r="E7" s="49" t="n">
        <x:v>38.35643197966508</x:v>
      </x:c>
      <x:c r="F7" s="41" t="n">
        <x:v>0.17261389859756932</x:v>
      </x:c>
      <x:c r="G7" s="41" t="n">
        <x:v>-0.07344395705891782</x:v>
      </x:c>
      <x:c r="H7" s="43" t="str"/>
    </x:row>
    <x:row r="8">
      <x:c r="A8" s="32" t="str">
        <x:v>Мед.корпус-2</x:v>
      </x:c>
      <x:c r="B8" s="42" t="str">
        <x:v>last_week</x:v>
      </x:c>
      <x:c r="C8" s="49" t="n">
        <x:v>1344</x:v>
      </x:c>
      <x:c r="D8" s="49" t="n">
        <x:v>98.32291666666667</x:v>
      </x:c>
      <x:c r="E8" s="49" t="n">
        <x:v>151.0208663838654</x:v>
      </x:c>
      <x:c r="F8" s="41" t="n">
        <x:v>0.23885706642469945</x:v>
      </x:c>
      <x:c r="G8" s="41" t="n">
        <x:v>-0.15801013297954064</x:v>
      </x:c>
      <x:c r="H8" s="43" t="str"/>
    </x:row>
    <x:row r="9">
      <x:c r="A9" s="32" t="str">
        <x:v>Мед.корпус-2</x:v>
      </x:c>
      <x:c r="B9" s="42" t="str">
        <x:v>median_previous_4_weeks</x:v>
      </x:c>
      <x:c r="C9" s="49" t="n">
        <x:v>1344</x:v>
      </x:c>
      <x:c r="D9" s="49" t="n">
        <x:v>112.21502976190476</x:v>
      </x:c>
      <x:c r="E9" s="49" t="n">
        <x:v>143.32596231393072</x:v>
      </x:c>
      <x:c r="F9" s="41" t="n">
        <x:v>0.272605347017495</x:v>
      </x:c>
      <x:c r="G9" s="41" t="n">
        <x:v>-0.2401982492322542</x:v>
      </x:c>
      <x:c r="H9" s="43" t="str"/>
    </x:row>
    <x:row r="10">
      <x:c r="A10" s="32" t="str">
        <x:v>Мед.корпус-2</x:v>
      </x:c>
      <x:c r="B10" s="42" t="str">
        <x:v>weather_hour_of_week_ridge</x:v>
      </x:c>
      <x:c r="C10" s="49" t="n">
        <x:v>1344</x:v>
      </x:c>
      <x:c r="D10" s="49" t="n">
        <x:v>97.7050313322379</x:v>
      </x:c>
      <x:c r="E10" s="49" t="n">
        <x:v>129.1207037111293</x:v>
      </x:c>
      <x:c r="F10" s="41" t="n">
        <x:v>0.23735603000946734</x:v>
      </x:c>
      <x:c r="G10" s="41" t="n">
        <x:v>-0.18248751540478922</x:v>
      </x:c>
      <x:c r="H10" s="43" t="str">
        <x:v>YES</x:v>
      </x:c>
    </x:row>
    <x:row r="11">
      <x:c r="A11" s="32" t="str">
        <x:v>Ректорат</x:v>
      </x:c>
      <x:c r="B11" s="42" t="str">
        <x:v>last_week</x:v>
      </x:c>
      <x:c r="C11" s="49" t="n">
        <x:v>1344</x:v>
      </x:c>
      <x:c r="D11" s="49" t="n">
        <x:v>45.166666666666664</x:v>
      </x:c>
      <x:c r="E11" s="49" t="n">
        <x:v>70.67646144496025</x:v>
      </x:c>
      <x:c r="F11" s="41" t="n">
        <x:v>0.1020135852303473</x:v>
      </x:c>
      <x:c r="G11" s="41" t="n">
        <x:v>-0.034312621626799406</x:v>
      </x:c>
      <x:c r="H11" s="43" t="str"/>
    </x:row>
    <x:row r="12">
      <x:c r="A12" s="32" t="str">
        <x:v>Ректорат</x:v>
      </x:c>
      <x:c r="B12" s="42" t="str">
        <x:v>median_previous_4_weeks</x:v>
      </x:c>
      <x:c r="C12" s="49" t="n">
        <x:v>1344</x:v>
      </x:c>
      <x:c r="D12" s="49" t="n">
        <x:v>51.97730654761905</x:v>
      </x:c>
      <x:c r="E12" s="49" t="n">
        <x:v>67.52494991932348</x:v>
      </x:c>
      <x:c r="F12" s="41" t="n">
        <x:v>0.11739611936987655</x:v>
      </x:c>
      <x:c r="G12" s="41" t="n">
        <x:v>-0.08738391887849588</x:v>
      </x:c>
      <x:c r="H12" s="43" t="str"/>
    </x:row>
    <x:row r="13">
      <x:c r="A13" s="32" t="str">
        <x:v>Ректорат</x:v>
      </x:c>
      <x:c r="B13" s="42" t="str">
        <x:v>weather_hour_of_week_ridge</x:v>
      </x:c>
      <x:c r="C13" s="49" t="n">
        <x:v>1344</x:v>
      </x:c>
      <x:c r="D13" s="49" t="n">
        <x:v>43.47011032110262</x:v>
      </x:c>
      <x:c r="E13" s="49" t="n">
        <x:v>61.83958596537122</x:v>
      </x:c>
      <x:c r="F13" s="41" t="n">
        <x:v>0.09818173736268047</x:v>
      </x:c>
      <x:c r="G13" s="41" t="n">
        <x:v>-0.026887797678143477</x:v>
      </x:c>
      <x:c r="H13" s="43" t="str">
        <x:v>YES</x:v>
      </x:c>
    </x:row>
    <x:row r="14">
      <x:c r="A14" s="32" t="str">
        <x:v>Rixos-2</x:v>
      </x:c>
      <x:c r="B14" s="42" t="str">
        <x:v>last_week</x:v>
      </x:c>
      <x:c r="C14" s="49" t="n">
        <x:v>1344</x:v>
      </x:c>
      <x:c r="D14" s="49" t="n">
        <x:v>110.42261904761905</x:v>
      </x:c>
      <x:c r="E14" s="49" t="n">
        <x:v>175.83376212992175</x:v>
      </x:c>
      <x:c r="F14" s="41" t="n">
        <x:v>0.12927661264751897</x:v>
      </x:c>
      <x:c r="G14" s="41" t="n">
        <x:v>-0.032423683871259976</x:v>
      </x:c>
      <x:c r="H14" s="43" t="str">
        <x:v>YES</x:v>
      </x:c>
    </x:row>
    <x:row r="15">
      <x:c r="A15" s="32" t="str">
        <x:v>Rixos-2</x:v>
      </x:c>
      <x:c r="B15" s="42" t="str">
        <x:v>median_previous_4_weeks</x:v>
      </x:c>
      <x:c r="C15" s="49" t="n">
        <x:v>1344</x:v>
      </x:c>
      <x:c r="D15" s="49" t="n">
        <x:v>117.47470238095238</x:v>
      </x:c>
      <x:c r="E15" s="49" t="n">
        <x:v>159.14551288312634</x:v>
      </x:c>
      <x:c r="F15" s="41" t="n">
        <x:v>0.13753279651006806</x:v>
      </x:c>
      <x:c r="G15" s="41" t="n">
        <x:v>-0.11810140872552674</x:v>
      </x:c>
      <x:c r="H15" s="43" t="str"/>
    </x:row>
    <x:row r="16">
      <x:c r="A16" s="32" t="str">
        <x:v>Rixos-2</x:v>
      </x:c>
      <x:c r="B16" s="42" t="str">
        <x:v>weather_hour_of_week_ridge</x:v>
      </x:c>
      <x:c r="C16" s="49" t="n">
        <x:v>1344</x:v>
      </x:c>
      <x:c r="D16" s="49" t="n">
        <x:v>249.3000489507005</x:v>
      </x:c>
      <x:c r="E16" s="49" t="n">
        <x:v>283.13839211761115</x:v>
      </x:c>
      <x:c r="F16" s="41" t="n">
        <x:v>0.29186652281185993</x:v>
      </x:c>
      <x:c r="G16" s="41" t="n">
        <x:v>-0.29086646436479324</x:v>
      </x:c>
      <x:c r="H16" s="43" t="str"/>
    </x:row>
    <x:row r="17">
      <x:c r="A17" s="32" t="str">
        <x:v>Поликлиника ТГП</x:v>
      </x:c>
      <x:c r="B17" s="42" t="str">
        <x:v>last_week</x:v>
      </x:c>
      <x:c r="C17" s="49" t="n">
        <x:v>1344</x:v>
      </x:c>
      <x:c r="D17" s="49" t="n">
        <x:v>78.13392857142857</x:v>
      </x:c>
      <x:c r="E17" s="49" t="n">
        <x:v>111.4537660390429</x:v>
      </x:c>
      <x:c r="F17" s="41" t="n">
        <x:v>0.48328263280699896</x:v>
      </x:c>
      <x:c r="G17" s="41" t="n">
        <x:v>-0.040425424204630696</x:v>
      </x:c>
      <x:c r="H17" s="43" t="str">
        <x:v>YES</x:v>
      </x:c>
    </x:row>
    <x:row r="18">
      <x:c r="A18" s="32" t="str">
        <x:v>Поликлиника ТГП</x:v>
      </x:c>
      <x:c r="B18" s="42" t="str">
        <x:v>median_previous_4_weeks</x:v>
      </x:c>
      <x:c r="C18" s="49" t="n">
        <x:v>1344</x:v>
      </x:c>
      <x:c r="D18" s="49" t="n">
        <x:v>92.91703869047619</x:v>
      </x:c>
      <x:c r="E18" s="49" t="n">
        <x:v>115.4742074955537</x:v>
      </x:c>
      <x:c r="F18" s="41" t="n">
        <x:v>0.574720763591346</x:v>
      </x:c>
      <x:c r="G18" s="41" t="n">
        <x:v>-0.14095743456870805</x:v>
      </x:c>
      <x:c r="H18" s="43" t="str"/>
    </x:row>
    <x:row r="19">
      <x:c r="A19" s="32" t="str">
        <x:v>Поликлиника ТГП</x:v>
      </x:c>
      <x:c r="B19" s="42" t="str">
        <x:v>weather_hour_of_week_ridge</x:v>
      </x:c>
      <x:c r="C19" s="49" t="n">
        <x:v>1344</x:v>
      </x:c>
      <x:c r="D19" s="49" t="n">
        <x:v>95.73225288527857</x:v>
      </x:c>
      <x:c r="E19" s="49" t="n">
        <x:v>118.12793174950758</x:v>
      </x:c>
      <x:c r="F19" s="41" t="n">
        <x:v>0.5921337383752255</x:v>
      </x:c>
      <x:c r="G19" s="41" t="n">
        <x:v>0.48624598032628613</x:v>
      </x:c>
      <x:c r="H19" s="43" t="str"/>
    </x:row>
    <x:row r="20">
      <x:c r="A20" s="32" t="str">
        <x:v>Мкр. Отрар-2</x:v>
      </x:c>
      <x:c r="B20" s="42" t="str">
        <x:v>last_week</x:v>
      </x:c>
      <x:c r="C20" s="49" t="n">
        <x:v>1344</x:v>
      </x:c>
      <x:c r="D20" s="49" t="n">
        <x:v>36.09672619047619</x:v>
      </x:c>
      <x:c r="E20" s="49" t="n">
        <x:v>58.43812865717366</x:v>
      </x:c>
      <x:c r="F20" s="41" t="n">
        <x:v>0.1425993204237358</x:v>
      </x:c>
      <x:c r="G20" s="41" t="n">
        <x:v>-0.03727087815832481</x:v>
      </x:c>
      <x:c r="H20" s="43" t="str"/>
    </x:row>
    <x:row r="21">
      <x:c r="A21" s="32" t="str">
        <x:v>Мкр. Отрар-2</x:v>
      </x:c>
      <x:c r="B21" s="42" t="str">
        <x:v>median_previous_4_weeks</x:v>
      </x:c>
      <x:c r="C21" s="49" t="n">
        <x:v>1344</x:v>
      </x:c>
      <x:c r="D21" s="49" t="n">
        <x:v>35.050223214285715</x:v>
      </x:c>
      <x:c r="E21" s="49" t="n">
        <x:v>51.03268203236693</x:v>
      </x:c>
      <x:c r="F21" s="41" t="n">
        <x:v>0.138465133504991</x:v>
      </x:c>
      <x:c r="G21" s="41" t="n">
        <x:v>-0.0853423747545648</x:v>
      </x:c>
      <x:c r="H21" s="43" t="str">
        <x:v>YES</x:v>
      </x:c>
    </x:row>
    <x:row r="22">
      <x:c r="A22" s="32" t="str">
        <x:v>Мкр. Отрар-2</x:v>
      </x:c>
      <x:c r="B22" s="42" t="str">
        <x:v>weather_hour_of_week_ridge</x:v>
      </x:c>
      <x:c r="C22" s="49" t="n">
        <x:v>1344</x:v>
      </x:c>
      <x:c r="D22" s="49" t="n">
        <x:v>128.99889984434074</x:v>
      </x:c>
      <x:c r="E22" s="49" t="n">
        <x:v>147.71416439201786</x:v>
      </x:c>
      <x:c r="F22" s="41" t="n">
        <x:v>0.5096073077692556</x:v>
      </x:c>
      <x:c r="G22" s="41" t="n">
        <x:v>-0.5096073077692556</x:v>
      </x:c>
      <x:c r="H22" s="43" t="str"/>
    </x:row>
    <x:row r="23">
      <x:c r="A23" s="32" t="str">
        <x:v>Мкр.Отрар-1</x:v>
      </x:c>
      <x:c r="B23" s="42" t="str">
        <x:v>last_week</x:v>
      </x:c>
      <x:c r="C23" s="49" t="n">
        <x:v>1344</x:v>
      </x:c>
      <x:c r="D23" s="49" t="n">
        <x:v>91.23065476190476</x:v>
      </x:c>
      <x:c r="E23" s="49" t="n">
        <x:v>155.5087608541106</x:v>
      </x:c>
      <x:c r="F23" s="41" t="n">
        <x:v>0.12112130108542324</x:v>
      </x:c>
      <x:c r="G23" s="41" t="n">
        <x:v>-0.05027046676755663</x:v>
      </x:c>
      <x:c r="H23" s="43" t="str">
        <x:v>YES</x:v>
      </x:c>
    </x:row>
    <x:row r="24">
      <x:c r="A24" s="32" t="str">
        <x:v>Мкр.Отрар-1</x:v>
      </x:c>
      <x:c r="B24" s="42" t="str">
        <x:v>median_previous_4_weeks</x:v>
      </x:c>
      <x:c r="C24" s="49" t="n">
        <x:v>1344</x:v>
      </x:c>
      <x:c r="D24" s="49" t="n">
        <x:v>111.93563988095238</x:v>
      </x:c>
      <x:c r="E24" s="49" t="n">
        <x:v>157.70843692988984</x:v>
      </x:c>
      <x:c r="F24" s="41" t="n">
        <x:v>0.14861002999039832</x:v>
      </x:c>
      <x:c r="G24" s="41" t="n">
        <x:v>-0.09067996017085439</x:v>
      </x:c>
      <x:c r="H24" s="43" t="str"/>
    </x:row>
    <x:row r="25">
      <x:c r="A25" s="32" t="str">
        <x:v>Мкр.Отрар-1</x:v>
      </x:c>
      <x:c r="B25" s="42" t="str">
        <x:v>weather_hour_of_week_ridge</x:v>
      </x:c>
      <x:c r="C25" s="49" t="n">
        <x:v>1344</x:v>
      </x:c>
      <x:c r="D25" s="49" t="n">
        <x:v>369.3462857771398</x:v>
      </x:c>
      <x:c r="E25" s="49" t="n">
        <x:v>426.6700520354801</x:v>
      </x:c>
      <x:c r="F25" s="41" t="n">
        <x:v>0.4903582332182937</x:v>
      </x:c>
      <x:c r="G25" s="41" t="n">
        <x:v>0.48814800046447854</x:v>
      </x:c>
      <x:c r="H25" s="43" t="str"/>
    </x:row>
    <x:row r="26">
      <x:c r="A26" s="32" t="str">
        <x:v>Rixos-1</x:v>
      </x:c>
      <x:c r="B26" s="42" t="str">
        <x:v>last_week</x:v>
      </x:c>
      <x:c r="C26" s="49" t="n">
        <x:v>1344</x:v>
      </x:c>
      <x:c r="D26" s="49" t="n">
        <x:v>95.5639880952381</x:v>
      </x:c>
      <x:c r="E26" s="49" t="n">
        <x:v>149.64891452679373</x:v>
      </x:c>
      <x:c r="F26" s="41" t="n">
        <x:v>0.18744873684671404</x:v>
      </x:c>
      <x:c r="G26" s="41" t="n">
        <x:v>-0.02306805411637648</x:v>
      </x:c>
      <x:c r="H26" s="43" t="str"/>
    </x:row>
    <x:row r="27">
      <x:c r="A27" s="32" t="str">
        <x:v>Rixos-1</x:v>
      </x:c>
      <x:c r="B27" s="42" t="str">
        <x:v>median_previous_4_weeks</x:v>
      </x:c>
      <x:c r="C27" s="49" t="n">
        <x:v>1344</x:v>
      </x:c>
      <x:c r="D27" s="49" t="n">
        <x:v>82.13764880952381</x:v>
      </x:c>
      <x:c r="E27" s="49" t="n">
        <x:v>124.34800795884642</x:v>
      </x:c>
      <x:c r="F27" s="41" t="n">
        <x:v>0.1611129759628716</x:v>
      </x:c>
      <x:c r="G27" s="41" t="n">
        <x:v>-0.05970022913352501</x:v>
      </x:c>
      <x:c r="H27" s="43" t="str"/>
    </x:row>
    <x:row r="28">
      <x:c r="A28" s="32" t="str">
        <x:v>Rixos-1</x:v>
      </x:c>
      <x:c r="B28" s="42" t="str">
        <x:v>weather_hour_of_week_ridge</x:v>
      </x:c>
      <x:c r="C28" s="49" t="n">
        <x:v>1344</x:v>
      </x:c>
      <x:c r="D28" s="49" t="n">
        <x:v>78.71073745316926</x:v>
      </x:c>
      <x:c r="E28" s="49" t="n">
        <x:v>119.78382730028422</x:v>
      </x:c>
      <x:c r="F28" s="41" t="n">
        <x:v>0.15439109026264172</x:v>
      </x:c>
      <x:c r="G28" s="41" t="n">
        <x:v>-0.048463252818895325</x:v>
      </x:c>
      <x:c r="H28" s="43" t="str">
        <x:v>YES</x:v>
      </x:c>
    </x:row>
    <x:row r="29">
      <x:c r="A29" s="32" t="str">
        <x:v>Население Л-4А</x:v>
      </x:c>
      <x:c r="B29" s="42" t="str">
        <x:v>last_week</x:v>
      </x:c>
      <x:c r="C29" s="49" t="n">
        <x:v>1344</x:v>
      </x:c>
      <x:c r="D29" s="49" t="n">
        <x:v>93.74404761904762</x:v>
      </x:c>
      <x:c r="E29" s="49" t="n">
        <x:v>137.32634055243665</x:v>
      </x:c>
      <x:c r="F29" s="41" t="n">
        <x:v>0.10937175824528782</x:v>
      </x:c>
      <x:c r="G29" s="41" t="n">
        <x:v>-0.049663139637539815</x:v>
      </x:c>
      <x:c r="H29" s="43" t="str">
        <x:v>YES</x:v>
      </x:c>
    </x:row>
    <x:row r="30">
      <x:c r="A30" s="32" t="str">
        <x:v>Население Л-4А</x:v>
      </x:c>
      <x:c r="B30" s="42" t="str">
        <x:v>median_previous_4_weeks</x:v>
      </x:c>
      <x:c r="C30" s="49" t="n">
        <x:v>1344</x:v>
      </x:c>
      <x:c r="D30" s="49" t="n">
        <x:v>113.57849702380952</x:v>
      </x:c>
      <x:c r="E30" s="49" t="n">
        <x:v>147.4265561957078</x:v>
      </x:c>
      <x:c r="F30" s="41" t="n">
        <x:v>0.1325127326359139</x:v>
      </x:c>
      <x:c r="G30" s="41" t="n">
        <x:v>-0.10959268586349712</x:v>
      </x:c>
      <x:c r="H30" s="43" t="str"/>
    </x:row>
    <x:row r="31">
      <x:c r="A31" s="50" t="str">
        <x:v>Население Л-4А</x:v>
      </x:c>
      <x:c r="B31" s="51" t="str">
        <x:v>weather_hour_of_week_ridge</x:v>
      </x:c>
      <x:c r="C31" s="52" t="n">
        <x:v>1344</x:v>
      </x:c>
      <x:c r="D31" s="52" t="n">
        <x:v>94.4422572019375</x:v>
      </x:c>
      <x:c r="E31" s="52" t="n">
        <x:v>126.6649501320808</x:v>
      </x:c>
      <x:c r="F31" s="53" t="n">
        <x:v>0.11018636366978048</x:v>
      </x:c>
      <x:c r="G31" s="53" t="n">
        <x:v>-0.0385120677657059</x:v>
      </x:c>
      <x:c r="H31" s="54" t="str"/>
    </x:row>
  </x:sheetData>
  <x:mergeCells>
    <x:mergeCell ref="A1:H1"/>
    <x:mergeCell ref="A2:H2"/>
  </x:mergeCells>
  <x:conditionalFormatting sqref="F5:F31">
    <x:cfRule type="cellIs" dxfId="7" priority="1" operator="lessThanOrEqual">
      <x:formula>0.15</x:formula>
    </x:cfRule>
    <x:cfRule type="cellIs" dxfId="8" priority="2" operator="greaterThan">
      <x:formula>0.25</x:formula>
    </x:cfRule>
  </x:conditionalFormatting>
  <x:conditionalFormatting sqref="H5:H31">
    <x:cfRule type="containsText" dxfId="9" priority="3" operator="containsText" text="YE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58" hidden="0" customWidth="1"/>
  </x:cols>
  <x:sheetData>
    <x:row r="1" ht="32" customHeight="1">
      <x:c r="A1" s="4" t="str">
        <x:v>Tariff assumptions and scenarios</x:v>
      </x:c>
      <x:c r="B1" s="4" t="str">
        <x:v>Tariff assumptions and scenarios</x:v>
      </x:c>
      <x:c r="C1" s="4" t="str">
        <x:v>Tariff assumptions and scenarios</x:v>
      </x:c>
      <x:c r="D1" s="4" t="str">
        <x:v>Tariff assumptions and scenarios</x:v>
      </x:c>
      <x:c r="E1" s="4" t="str">
        <x:v>Tariff assumptions and scenarios</x:v>
      </x:c>
      <x:c r="F1" s="4" t="str">
        <x:v>Tariff assumptions and scenarios</x:v>
      </x:c>
      <x:c r="G1" s="4" t="str">
        <x:v>Tariff assumptions and scenarios</x:v>
      </x:c>
      <x:c r="H1" s="4" t="str">
        <x:v>Tariff assumptions and scenarios</x:v>
      </x:c>
      <x:c r="I1" s="4" t="str">
        <x:v>Tariff assumptions and scenarios</x:v>
      </x:c>
      <x:c r="J1" s="4" t="str">
        <x:v>Tariff assumptions and scenarios</x:v>
      </x:c>
      <x:c r="K1" s="4" t="str">
        <x:v>Tariff assumptions and scenarios</x:v>
      </x:c>
    </x:row>
    <x:row r="2">
      <x:c r="A2" s="23" t="str">
        <x:v>Selected consumer group</x:v>
      </x:c>
      <x:c r="B2" s="55" t="n">
        <x:v>2</x:v>
      </x:c>
    </x:row>
    <x:row r="4" ht="34" customHeight="1">
      <x:c r="A4" s="29" t="str">
        <x:v>Start</x:v>
      </x:c>
      <x:c r="B4" s="30" t="str">
        <x:v>End exclusive</x:v>
      </x:c>
      <x:c r="C4" s="30" t="str">
        <x:v>G2 net</x:v>
      </x:c>
      <x:c r="D4" s="30" t="str">
        <x:v>VAT</x:v>
      </x:c>
      <x:c r="E4" s="30" t="str">
        <x:v>G2 gross</x:v>
      </x:c>
      <x:c r="F4" s="30" t="str">
        <x:v>G2 status</x:v>
      </x:c>
      <x:c r="G4" s="30" t="str">
        <x:v>G3 net</x:v>
      </x:c>
      <x:c r="H4" s="30" t="str">
        <x:v>VAT</x:v>
      </x:c>
      <x:c r="I4" s="30" t="str">
        <x:v>G3 gross</x:v>
      </x:c>
      <x:c r="J4" s="30" t="str">
        <x:v>G3 status</x:v>
      </x:c>
      <x:c r="K4" s="31" t="str">
        <x:v>Source</x:v>
      </x:c>
    </x:row>
    <x:row r="5">
      <x:c r="A5" s="58" t="n">
        <x:v>45839</x:v>
      </x:c>
      <x:c r="B5" s="56" t="n">
        <x:v>45870</x:v>
      </x:c>
      <x:c r="C5" s="27"/>
      <x:c r="D5" s="57" t="n">
        <x:v>0.12</x:v>
      </x:c>
      <x:c r="E5" s="27" t="n">
        <x:v>37</x:v>
      </x:c>
      <x:c r="F5" s="66" t="str">
        <x:v>published gross</x:v>
      </x:c>
      <x:c r="G5" s="27"/>
      <x:c r="H5" s="57" t="n">
        <x:v>0.12</x:v>
      </x:c>
      <x:c r="I5" s="27" t="n">
        <x:v>37</x:v>
      </x:c>
      <x:c r="J5" s="66" t="str">
        <x:v>published gross; category split not shown</x:v>
      </x:c>
      <x:c r="K5" s="68" t="str">
        <x:v>https://energopotok.kz/?p=3528</x:v>
      </x:c>
    </x:row>
    <x:row r="6">
      <x:c r="A6" s="58" t="n">
        <x:v>45870</x:v>
      </x:c>
      <x:c r="B6" s="56" t="n">
        <x:v>45962</x:v>
      </x:c>
      <x:c r="C6" s="27" t="n">
        <x:v>39.96</x:v>
      </x:c>
      <x:c r="D6" s="57" t="n">
        <x:v>0.12</x:v>
      </x:c>
      <x:c r="E6" s="27" t="n">
        <x:f>C6*(1+D6)</x:f>
        <x:v>44.7552</x:v>
      </x:c>
      <x:c r="F6" s="66" t="str">
        <x:v>published</x:v>
      </x:c>
      <x:c r="G6" s="27" t="n">
        <x:v>66.15</x:v>
      </x:c>
      <x:c r="H6" s="57" t="n">
        <x:v>0.12</x:v>
      </x:c>
      <x:c r="I6" s="27" t="n">
        <x:f>G6*(1+H6)</x:f>
        <x:v>74.08800000000001</x:v>
      </x:c>
      <x:c r="J6" s="66" t="str">
        <x:v>published</x:v>
      </x:c>
      <x:c r="K6" s="68" t="str">
        <x:v>https://energopotok.kz/wp-content/uploads/2025/07/%D0%98%D0%BD%D1%84%D0%BE%D1%80%D0%BC%D0%B0%D1%86%D0%B8%D1%8F-%D0%B4%D0%BB%D1%8F-%D1%81%D0%B0%D0%B9%D1%82%D0%B0-%D0%9E%D0%96%D0%A2-%D0%BF%D0%BE-%D1%81%D0%BD%D0%B0%D0%B1%D0%B6%D0%B5%D0%BD%D0%B8%D1%8E-%D1%80%D1%83%D1%81.pdf</x:v>
      </x:c>
    </x:row>
    <x:row r="7">
      <x:c r="A7" s="58" t="n">
        <x:v>45962</x:v>
      </x:c>
      <x:c r="B7" s="56" t="n">
        <x:v>46023</x:v>
      </x:c>
      <x:c r="C7" s="27" t="n">
        <x:v>41.06</x:v>
      </x:c>
      <x:c r="D7" s="57" t="n">
        <x:v>0.12</x:v>
      </x:c>
      <x:c r="E7" s="27" t="n">
        <x:f>C7*(1+D7)</x:f>
        <x:v>45.98720000000001</x:v>
      </x:c>
      <x:c r="F7" s="66" t="str">
        <x:v>published</x:v>
      </x:c>
      <x:c r="G7" s="27" t="n">
        <x:v>73.74</x:v>
      </x:c>
      <x:c r="H7" s="57" t="n">
        <x:v>0.12</x:v>
      </x:c>
      <x:c r="I7" s="27" t="n">
        <x:f>G7*(1+H7)</x:f>
        <x:v>82.5888</x:v>
      </x:c>
      <x:c r="J7" s="66" t="str">
        <x:v>published</x:v>
      </x:c>
      <x:c r="K7" s="68" t="str">
        <x:v>https://energopotok.kz/wp-content/uploads/2025/10/%D0%98%D0%BD%D1%84%D0%BE%D1%80%D0%BC%D0%B0%D1%86%D0%B8%D1%8F-%D0%B4%D0%BB%D1%8F-%D1%81%D0%B0%D0%B9%D1%82%D0%B0-%D0%9E%D0%96%D0%A2-%D0%BF%D0%BE-%D1%81%D0%BD%D0%B0%D0%B1%D0%B6%D0%B5%D0%BD%D0%B8%D1%8E-09.10.2025.pdf</x:v>
      </x:c>
    </x:row>
    <x:row r="8">
      <x:c r="A8" s="59" t="n">
        <x:v>46023</x:v>
      </x:c>
      <x:c r="B8" s="60" t="n">
        <x:v>46204</x:v>
      </x:c>
      <x:c r="C8" s="61" t="n">
        <x:v>41.06</x:v>
      </x:c>
      <x:c r="D8" s="62" t="n">
        <x:v>0.16</x:v>
      </x:c>
      <x:c r="E8" s="63" t="n">
        <x:f>C8*(1+D8)</x:f>
        <x:v>47.629599999999996</x:v>
      </x:c>
      <x:c r="F8" s="67" t="str">
        <x:v>derived from published net rate and statutory VAT; verify against invoice</x:v>
      </x:c>
      <x:c r="G8" s="63" t="n">
        <x:v>73.74</x:v>
      </x:c>
      <x:c r="H8" s="65" t="n">
        <x:v>0.16</x:v>
      </x:c>
      <x:c r="I8" s="63" t="n">
        <x:f>G8*(1+H8)</x:f>
        <x:v>85.53839999999998</x:v>
      </x:c>
      <x:c r="J8" s="69" t="str">
        <x:v>derived from published net rate and statutory VAT; verify against invoice</x:v>
      </x:c>
      <x:c r="K8" s="70" t="str">
        <x:v>https://energopotok.kz/wp-content/uploads/2025/10/%D0%98%D0%BD%D1%84%D0%BE%D1%80%D0%BC%D0%B0%D1%86%D0%B8%D1%8F-%D0%B4%D0%BB%D1%8F-%D1%81%D0%B0%D0%B9%D1%82%D0%B0-%D0%9E%D0%96%D0%A2-%D0%BF%D0%BE-%D1%81%D0%BD%D0%B0%D0%B1%D0%B6%D0%B5%D0%BD%D0%B8%D1%8E-09.10.2025.pdf | https://www.gov.kz/memleket/entities/minfin/press/news/details/1119650?lang=ru</x:v>
      </x:c>
    </x:row>
  </x:sheetData>
  <x:mergeCells>
    <x:mergeCell ref="A1:K1"/>
  </x:mergeCells>
  <x:dataValidations count="1">
    <x:dataValidation type="list" sqref="B2">
      <x:formula1>"2,3"</x:formula1>
    </x:dataValidation>
  </x:dataValidations>
  <x:pageMargins left="0.7" right="0.7" top="0.75" bottom="0.75" header="0.3" footer="0.3"/>
  <x:legacyDrawing xmlns:r="http://schemas.openxmlformats.org/officeDocument/2006/relationships" r:id="R6637f289bcc840a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</x:cols>
  <x:sheetData>
    <x:row r="1" ht="32" customHeight="1">
      <x:c r="A1" s="4" t="str">
        <x:v>Workbook checks</x:v>
      </x:c>
      <x:c r="B1" s="4" t="str">
        <x:v>Workbook checks</x:v>
      </x:c>
      <x:c r="C1" s="4" t="str">
        <x:v>Workbook checks</x:v>
      </x:c>
      <x:c r="D1" s="4" t="str">
        <x:v>Workbook checks</x:v>
      </x:c>
      <x:c r="E1" s="4" t="str">
        <x:v>Workbook checks</x:v>
      </x:c>
      <x:c r="F1" s="4" t="str">
        <x:v>Workbook checks</x:v>
      </x:c>
    </x:row>
    <x:row r="2">
      <x:c r="A2" s="71" t="str">
        <x:v>MODEL STATUS</x:v>
      </x:c>
      <x:c r="B2" s="71" t="str">
        <x:f>IF(COUNTIF(E5:E11,"FAIL")=0,"PASS","FAIL")</x:f>
        <x:v>PASS</x:v>
      </x:c>
    </x:row>
    <x:row r="4" ht="34" customHeight="1">
      <x:c r="A4" s="29" t="str">
        <x:v>Check</x:v>
      </x:c>
      <x:c r="B4" s="30" t="str">
        <x:v>Actual</x:v>
      </x:c>
      <x:c r="C4" s="30" t="str">
        <x:v>Expected</x:v>
      </x:c>
      <x:c r="D4" s="30" t="str">
        <x:v>Difference</x:v>
      </x:c>
      <x:c r="E4" s="30" t="str">
        <x:v>Status</x:v>
      </x:c>
      <x:c r="F4" s="31" t="str">
        <x:v>Notes</x:v>
      </x:c>
    </x:row>
    <x:row r="5">
      <x:c r="A5" s="32" t="str">
        <x:v>Monthly energy ties to portfolio</x:v>
      </x:c>
      <x:c r="B5" s="25" t="n">
        <x:f>'Monthly Inputs'!D17</x:f>
        <x:v>36847136</x:v>
      </x:c>
      <x:c r="C5" s="25" t="n">
        <x:v>36847136</x:v>
      </x:c>
      <x:c r="D5" s="25" t="n">
        <x:f>B5-C5</x:f>
        <x:v>0</x:v>
      </x:c>
      <x:c r="E5" s="42" t="str">
        <x:f>IF(ABS(D5)&lt;=1,"OK","FAIL")</x:f>
        <x:v>OK</x:v>
      </x:c>
      <x:c r="F5" s="43" t="str">
        <x:v>Tolerance: 1 kWh</x:v>
      </x:c>
    </x:row>
    <x:row r="6">
      <x:c r="A6" s="32" t="str">
        <x:v>Monthly cost ties to portfolio</x:v>
      </x:c>
      <x:c r="B6" s="25" t="n">
        <x:f>'Monthly Inputs'!E17</x:f>
        <x:v>1679943445.5528002</x:v>
      </x:c>
      <x:c r="C6" s="25" t="n">
        <x:v>1679943445.5528002</x:v>
      </x:c>
      <x:c r="D6" s="25" t="n">
        <x:f>B6-C6</x:f>
        <x:v>0</x:v>
      </x:c>
      <x:c r="E6" s="42" t="str">
        <x:f>IF(ABS(D6)&lt;=1,"OK","FAIL")</x:f>
        <x:v>OK</x:v>
      </x:c>
      <x:c r="F6" s="43" t="str">
        <x:v>Tolerance: 1 KZT</x:v>
      </x:c>
    </x:row>
    <x:row r="7">
      <x:c r="A7" s="32" t="str">
        <x:v>Event count ties</x:v>
      </x:c>
      <x:c r="B7" s="25" t="n">
        <x:f>'Candidate Events'!E57</x:f>
        <x:v>52</x:v>
      </x:c>
      <x:c r="C7" s="25" t="n">
        <x:v>52</x:v>
      </x:c>
      <x:c r="D7" s="25" t="n">
        <x:f>B7-C7</x:f>
        <x:v>0</x:v>
      </x:c>
      <x:c r="E7" s="42" t="str">
        <x:f>IF(D7=0,"OK","FAIL")</x:f>
        <x:v>OK</x:v>
      </x:c>
      <x:c r="F7" s="43" t="str">
        <x:v>Validation-window candidates</x:v>
      </x:c>
    </x:row>
    <x:row r="8">
      <x:c r="A8" s="32" t="str">
        <x:v>Candidate value ties</x:v>
      </x:c>
      <x:c r="B8" s="25" t="n">
        <x:f>'Candidate Events'!H57</x:f>
        <x:v>3405324.1380367544</x:v>
      </x:c>
      <x:c r="C8" s="25" t="n">
        <x:v>3405324.138036754</x:v>
      </x:c>
      <x:c r="D8" s="25" t="n">
        <x:f>B8-C8</x:f>
        <x:v>4.656612873077393e-10</x:v>
      </x:c>
      <x:c r="E8" s="42" t="str">
        <x:f>IF(ABS(D8)&lt;=1,"OK","FAIL")</x:f>
        <x:v>OK</x:v>
      </x:c>
      <x:c r="F8" s="43" t="str">
        <x:v>Tolerance: 1 KZT</x:v>
      </x:c>
    </x:row>
    <x:row r="9">
      <x:c r="A9" s="32" t="str">
        <x:v>Modeled meter count</x:v>
      </x:c>
      <x:c r="B9" s="25" t="n">
        <x:f>COUNTA('Load Ranking'!B5:B13)</x:f>
        <x:v>9</x:v>
      </x:c>
      <x:c r="C9" s="25" t="n">
        <x:v>9</x:v>
      </x:c>
      <x:c r="D9" s="25" t="n">
        <x:f>B9-C9</x:f>
        <x:v>0</x:v>
      </x:c>
      <x:c r="E9" s="42" t="str">
        <x:f>IF(D9=0,"OK","FAIL")</x:f>
        <x:v>OK</x:v>
      </x:c>
      <x:c r="F9" s="43" t="str">
        <x:v>Registry-enabled loads</x:v>
      </x:c>
    </x:row>
    <x:row r="10">
      <x:c r="A10" s="32" t="str">
        <x:v>Tariff periods</x:v>
      </x:c>
      <x:c r="B10" s="25" t="n">
        <x:v>4</x:v>
      </x:c>
      <x:c r="C10" s="25" t="n">
        <x:v>4</x:v>
      </x:c>
      <x:c r="D10" s="25" t="n">
        <x:f>B10-C10</x:f>
        <x:v>0</x:v>
      </x:c>
      <x:c r="E10" s="42" t="str">
        <x:f>IF(D10=0,"OK","FAIL")</x:f>
        <x:v>OK</x:v>
      </x:c>
      <x:c r="F10" s="43" t="str">
        <x:v>Full analysis-year coverage</x:v>
      </x:c>
    </x:row>
    <x:row r="11">
      <x:c r="A11" s="50" t="str">
        <x:v>Topology balance</x:v>
      </x:c>
      <x:c r="B11" s="53" t="n">
        <x:v>0.03469303557269689</x:v>
      </x:c>
      <x:c r="C11" s="53" t="n">
        <x:v>0</x:v>
      </x:c>
      <x:c r="D11" s="53"/>
      <x:c r="E11" s="44" t="str">
        <x:v>INFO</x:v>
      </x:c>
      <x:c r="F11" s="54" t="str">
        <x:v>Not a failure until bus/cell topology is known</x:v>
      </x:c>
    </x:row>
  </x:sheetData>
  <x:mergeCells>
    <x:mergeCell ref="A1:F1"/>
  </x:mergeCells>
  <x:conditionalFormatting sqref="E5:E10">
    <x:cfRule type="containsText" dxfId="10" priority="1" operator="containsText" text="OK"/>
    <x:cfRule type="containsText" dxfId="11" priority="2" operator="containsText" text="FAIL"/>
  </x:conditionalFormatting>
  <x:conditionalFormatting sqref="B2:B2">
    <x:cfRule type="containsText" dxfId="12" priority="3" operator="containsText" text="PASS"/>
    <x:cfRule type="containsText" dxfId="13" priority="4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68" hidden="0" customWidth="1"/>
    <x:col min="4" max="4" width="48" hidden="0" customWidth="1"/>
    <x:col min="5" max="5" width="15" hidden="0" customWidth="1"/>
    <x:col min="6" max="6" width="45" hidden="0" customWidth="1"/>
  </x:cols>
  <x:sheetData>
    <x:row r="1" ht="32" customHeight="1">
      <x:c r="A1" s="4" t="str">
        <x:v>Sources, files, and model lineage</x:v>
      </x:c>
      <x:c r="B1" s="4" t="str">
        <x:v>Sources, files, and model lineage</x:v>
      </x:c>
      <x:c r="C1" s="4" t="str">
        <x:v>Sources, files, and model lineage</x:v>
      </x:c>
      <x:c r="D1" s="4" t="str">
        <x:v>Sources, files, and model lineage</x:v>
      </x:c>
      <x:c r="E1" s="4" t="str">
        <x:v>Sources, files, and model lineage</x:v>
      </x:c>
      <x:c r="F1" s="4" t="str">
        <x:v>Sources, files, and model lineage</x:v>
      </x:c>
    </x:row>
    <x:row r="3" ht="34" customHeight="1">
      <x:c r="A3" s="29" t="str">
        <x:v>ID</x:v>
      </x:c>
      <x:c r="B3" s="30" t="str">
        <x:v>Source</x:v>
      </x:c>
      <x:c r="C3" s="30" t="str">
        <x:v>Reference</x:v>
      </x:c>
      <x:c r="D3" s="30" t="str">
        <x:v>Supports</x:v>
      </x:c>
      <x:c r="E3" s="30" t="str">
        <x:v>As of</x:v>
      </x:c>
      <x:c r="F3" s="31" t="str">
        <x:v>Notes</x:v>
      </x:c>
    </x:row>
    <x:row r="4" ht="64" customHeight="1">
      <x:c r="A4" s="32" t="str">
        <x:v>D1</x:v>
      </x:c>
      <x:c r="B4" s="66" t="str">
        <x:v>Normalized ASKUE data</x:v>
      </x:c>
      <x:c r="C4" s="66" t="str">
        <x:v>C:\Users\USER\lightning-ai\data\processed\hourly_energy.csv</x:v>
      </x:c>
      <x:c r="D4" s="66" t="str">
        <x:v>Hourly energy for 15 meters</x:v>
      </x:c>
      <x:c r="E4" s="66" t="str">
        <x:v>2026-07-20</x:v>
      </x:c>
      <x:c r="F4" s="68" t="str">
        <x:v>Raw Excel exports remain unchanged.</x:v>
      </x:c>
    </x:row>
    <x:row r="5" ht="64" customHeight="1">
      <x:c r="A5" s="32" t="str">
        <x:v>D2</x:v>
      </x:c>
      <x:c r="B5" s="66" t="str">
        <x:v>Meter registry</x:v>
      </x:c>
      <x:c r="C5" s="66" t="str">
        <x:v>C:\Users\USER\lightning-ai\config\meter_registry.csv</x:v>
      </x:c>
      <x:c r="D5" s="66" t="str">
        <x:v>Ownership, roles, model inclusion</x:v>
      </x:c>
      <x:c r="E5" s="66" t="str">
        <x:v>2026-07-20</x:v>
      </x:c>
      <x:c r="F5" s="68" t="str">
        <x:v>Nine loads enabled; Med.corpus-1 excluded.</x:v>
      </x:c>
    </x:row>
    <x:row r="6" ht="64" customHeight="1">
      <x:c r="A6" s="32" t="str">
        <x:v>D3</x:v>
      </x:c>
      <x:c r="B6" s="66" t="str">
        <x:v>Tariff configuration</x:v>
      </x:c>
      <x:c r="C6" s="66" t="str">
        <x:v>C:\Users\USER\lightning-ai\config\electricity_tariffs.json</x:v>
      </x:c>
      <x:c r="D6" s="66" t="str">
        <x:v>Tariff timeline and consumer-group scenario</x:v>
      </x:c>
      <x:c r="E6" s="66" t="str">
        <x:v>2026-07-20</x:v>
      </x:c>
      <x:c r="F6" s="68" t="str">
        <x:v>Group 2 selected provisionally.</x:v>
      </x:c>
    </x:row>
    <x:row r="7" ht="64" customHeight="1">
      <x:c r="A7" s="32" t="str">
        <x:v>D4</x:v>
      </x:c>
      <x:c r="B7" s="66" t="str">
        <x:v>Model analysis</x:v>
      </x:c>
      <x:c r="C7" s="66" t="str">
        <x:v>C:\Users\USER\lightning-ai\reports\model_analysis.json</x:v>
      </x:c>
      <x:c r="D7" s="66" t="str">
        <x:v>Validation metrics and candidate events</x:v>
      </x:c>
      <x:c r="E7" s="66" t="str">
        <x:v>2026-07-20</x:v>
      </x:c>
      <x:c r="F7" s="68" t="str">
        <x:v>Final 8 weeks used for validation/events.</x:v>
      </x:c>
    </x:row>
    <x:row r="8" ht="64" customHeight="1">
      <x:c r="A8" s="32" t="str">
        <x:v>W1</x:v>
      </x:c>
      <x:c r="B8" s="66" t="str">
        <x:v>Supplier tariff notice</x:v>
      </x:c>
      <x:c r="C8" s="66" t="str">
        <x:v>https://energopotok.kz/?p=3528</x:v>
      </x:c>
      <x:c r="D8" s="66" t="str">
        <x:v>37 KZT/kWh carry-forward for July 2025</x:v>
      </x:c>
      <x:c r="E8" s="66" t="str">
        <x:v>2026-07-20</x:v>
      </x:c>
      <x:c r="F8" s="68" t="str">
        <x:v>Official supplier notice.</x:v>
      </x:c>
    </x:row>
    <x:row r="9" ht="64" customHeight="1">
      <x:c r="A9" s="32" t="str">
        <x:v>W2</x:v>
      </x:c>
      <x:c r="B9" s="66" t="str">
        <x:v>Supplier tariff PDF</x:v>
      </x:c>
      <x:c r="C9" s="66" t="str">
        <x:v>https://energopotok.kz/wp-content/uploads/2025/07/%D0%98%D0%BD%D1%84%D0%BE%D1%80%D0%BC%D0%B0%D1%86%D0%B8%D1%8F-%D0%B4%D0%BB%D1%8F-%D1%81%D0%B0%D0%B9%D1%82%D0%B0-%D0%9E%D0%96%D0%A2-%D0%BF%D0%BE-%D1%81%D0%BD%D0%B0%D0%B1%D0%B6%D0%B5%D0%BD%D0%B8%D1%8E-%D1%80%D1%83%D1%81.pdf</x:v>
      </x:c>
      <x:c r="D9" s="66" t="str">
        <x:v>Rates from 2025-08-01</x:v>
      </x:c>
      <x:c r="E9" s="66" t="str">
        <x:v>2026-07-20</x:v>
      </x:c>
      <x:c r="F9" s="68" t="str">
        <x:v>Official supplier PDF.</x:v>
      </x:c>
    </x:row>
    <x:row r="10" ht="64" customHeight="1">
      <x:c r="A10" s="32" t="str">
        <x:v>W3</x:v>
      </x:c>
      <x:c r="B10" s="66" t="str">
        <x:v>Supplier tariff PDF</x:v>
      </x:c>
      <x:c r="C10" s="66" t="str">
        <x:v>https://energopotok.kz/wp-content/uploads/2025/10/%D0%98%D0%BD%D1%84%D0%BE%D1%80%D0%BC%D0%B0%D1%86%D0%B8%D1%8F-%D0%B4%D0%BB%D1%8F-%D1%81%D0%B0%D0%B9%D1%82%D0%B0-%D0%9E%D0%96%D0%A2-%D0%BF%D0%BE-%D1%81%D0%BD%D0%B0%D0%B1%D0%B6%D0%B5%D0%BD%D0%B8%D1%8E-09.10.2025.pdf</x:v>
      </x:c>
      <x:c r="D10" s="66" t="str">
        <x:v>Rates from 2025-11-01</x:v>
      </x:c>
      <x:c r="E10" s="66" t="str">
        <x:v>2026-07-20</x:v>
      </x:c>
      <x:c r="F10" s="68" t="str">
        <x:v>Official supplier PDF.</x:v>
      </x:c>
    </x:row>
    <x:row r="11" ht="64" customHeight="1">
      <x:c r="A11" s="32" t="str">
        <x:v>W4</x:v>
      </x:c>
      <x:c r="B11" s="66" t="str">
        <x:v>Ministry of Finance</x:v>
      </x:c>
      <x:c r="C11" s="66" t="str">
        <x:v>https://www.gov.kz/memleket/entities/minfin/press/news/details/1119650?lang=ru</x:v>
      </x:c>
      <x:c r="D11" s="66" t="str">
        <x:v>16% VAT from 2026-01-01</x:v>
      </x:c>
      <x:c r="E11" s="66" t="str">
        <x:v>2026-07-20</x:v>
      </x:c>
      <x:c r="F11" s="68" t="str">
        <x:v>Official government source.</x:v>
      </x:c>
    </x:row>
    <x:row r="12" ht="64" customHeight="1">
      <x:c r="A12" s="32" t="str">
        <x:v>W5</x:v>
      </x:c>
      <x:c r="B12" s="66" t="str">
        <x:v>Public procurement registry</x:v>
      </x:c>
      <x:c r="C12" s="66" t="str">
        <x:v>https://www.goszakup.gov.kz/ru/registry/show_supplier/24417</x:v>
      </x:c>
      <x:c r="D12" s="66" t="str">
        <x:v>University not listed as a state customer</x:v>
      </x:c>
      <x:c r="E12" s="66" t="str">
        <x:v>2026-07-20</x:v>
      </x:c>
      <x:c r="F12" s="68" t="str">
        <x:v>Contract remains authoritative for tariff group.</x:v>
      </x:c>
    </x:row>
    <x:row r="13" ht="64" customHeight="1">
      <x:c r="A13" s="50" t="str">
        <x:v>W6</x:v>
      </x:c>
      <x:c r="B13" s="69" t="str">
        <x:v>Open-Meteo archive</x:v>
      </x:c>
      <x:c r="C13" s="69" t="str">
        <x:v>https://archive-api.open-meteo.com/</x:v>
      </x:c>
      <x:c r="D13" s="69" t="str">
        <x:v>Historical hourly weather used by weather baseline</x:v>
      </x:c>
      <x:c r="E13" s="69" t="str">
        <x:v>2026-07-20</x:v>
      </x:c>
      <x:c r="F13" s="70" t="str">
        <x:v>Turkestan coordinates and Asia/Qyzylorda timezone.</x:v>
      </x:c>
    </x:row>
  </x:sheetData>
  <x:mergeCells>
    <x:mergeCell ref="A1:F1"/>
  </x:mergeCells>
  <x:pageMargins left="0.7" right="0.7" top="0.75" bottom="0.75" header="0.3" footer="0.3"/>
</x:worksheet>
</file>